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5c687d925685b4/7.Career/7.13 Cambridge Era/1. Science Management/3. Cam Papers/3. LRP1 Vascular  Expression/5. Resubmission/"/>
    </mc:Choice>
  </mc:AlternateContent>
  <xr:revisionPtr revIDLastSave="0" documentId="8_{C21A74BC-4551-0F4A-8BC7-90DADBBA1EC6}" xr6:coauthVersionLast="47" xr6:coauthVersionMax="47" xr10:uidLastSave="{00000000-0000-0000-0000-000000000000}"/>
  <bookViews>
    <workbookView xWindow="1900" yWindow="1740" windowWidth="27240" windowHeight="16440" xr2:uid="{CC49D25D-B9DA-694F-B78F-DD09FE9D9BE3}"/>
  </bookViews>
  <sheets>
    <sheet name="Supplementary Table 1" sheetId="1" r:id="rId1"/>
    <sheet name="Supplementary Table 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B61" i="1"/>
  <c r="B6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D21" i="1"/>
  <c r="D20" i="1"/>
  <c r="D19" i="1"/>
  <c r="D18" i="1"/>
  <c r="D17" i="1"/>
  <c r="D16" i="1"/>
  <c r="D15" i="1"/>
  <c r="D14" i="1"/>
  <c r="D13" i="1"/>
  <c r="D12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<sst xmlns="http://schemas.openxmlformats.org/spreadsheetml/2006/main" count="1558" uniqueCount="315">
  <si>
    <t>Total LRP1 in Bulk Tissues (GTEx) - Number of Samples:</t>
  </si>
  <si>
    <t>Tissue</t>
  </si>
  <si>
    <t>Total Pre Outliers</t>
  </si>
  <si>
    <t>Outliers removed</t>
  </si>
  <si>
    <t>Final Total N=</t>
  </si>
  <si>
    <t>Tibial</t>
  </si>
  <si>
    <t>Aorta</t>
  </si>
  <si>
    <t>Coronary</t>
  </si>
  <si>
    <t>Atria</t>
  </si>
  <si>
    <t>Ventrical</t>
  </si>
  <si>
    <t>Sex</t>
  </si>
  <si>
    <t>Female</t>
  </si>
  <si>
    <t>Male</t>
  </si>
  <si>
    <t>20–29</t>
  </si>
  <si>
    <t>30–39</t>
  </si>
  <si>
    <t>40–49</t>
  </si>
  <si>
    <t>50–59</t>
  </si>
  <si>
    <t>60–69</t>
  </si>
  <si>
    <t>70–79</t>
  </si>
  <si>
    <t>Total N=</t>
  </si>
  <si>
    <t>Pre ROUT</t>
  </si>
  <si>
    <t>Outliers Removed</t>
  </si>
  <si>
    <t>#Donor</t>
  </si>
  <si>
    <t>Age</t>
  </si>
  <si>
    <t>Gender</t>
  </si>
  <si>
    <t>BMI (kg/m2)</t>
  </si>
  <si>
    <t>Status</t>
  </si>
  <si>
    <t>Ethnicity</t>
  </si>
  <si>
    <t>Arteries</t>
  </si>
  <si>
    <t>RCA</t>
  </si>
  <si>
    <t>ASC</t>
  </si>
  <si>
    <t>ARCH</t>
  </si>
  <si>
    <t>DESC</t>
  </si>
  <si>
    <t>INFRARENAL</t>
  </si>
  <si>
    <t>ILIAC</t>
  </si>
  <si>
    <t>PA</t>
  </si>
  <si>
    <t>CAROTID</t>
  </si>
  <si>
    <t>ROOT</t>
  </si>
  <si>
    <t>F</t>
  </si>
  <si>
    <t>Obese Class I</t>
  </si>
  <si>
    <t>Asian/Chinese</t>
  </si>
  <si>
    <t>Yes</t>
  </si>
  <si>
    <t>No</t>
  </si>
  <si>
    <t>M</t>
  </si>
  <si>
    <t>Overweight</t>
  </si>
  <si>
    <t>Hispanic/Mexican</t>
  </si>
  <si>
    <t>White/European</t>
  </si>
  <si>
    <t>Normal</t>
  </si>
  <si>
    <t>Asian/Filipino</t>
  </si>
  <si>
    <t>White</t>
  </si>
  <si>
    <t>Abdominal Aorta</t>
  </si>
  <si>
    <t>Arch of Aorta</t>
  </si>
  <si>
    <t>Ascending Aorta</t>
  </si>
  <si>
    <t>Bulb of Aorta</t>
  </si>
  <si>
    <t>Carotid Artery</t>
  </si>
  <si>
    <t>Coronary Artery</t>
  </si>
  <si>
    <t>Descring Aorta</t>
  </si>
  <si>
    <t>Iliac Artery</t>
  </si>
  <si>
    <t>Pulmonary Artery</t>
  </si>
  <si>
    <t>Total</t>
  </si>
  <si>
    <t>Sanger ID</t>
  </si>
  <si>
    <t>Source</t>
  </si>
  <si>
    <t>Targeted number of cells</t>
  </si>
  <si>
    <t>Donor</t>
  </si>
  <si>
    <t>Region</t>
  </si>
  <si>
    <t>Type</t>
  </si>
  <si>
    <t>10X version</t>
  </si>
  <si>
    <t>HCAHeart7606896</t>
  </si>
  <si>
    <t>Cells</t>
  </si>
  <si>
    <t>AX</t>
  </si>
  <si>
    <t>50-55</t>
  </si>
  <si>
    <t>DBD</t>
  </si>
  <si>
    <t>V2</t>
  </si>
  <si>
    <t>HCAHeart7656534</t>
  </si>
  <si>
    <t>LV</t>
  </si>
  <si>
    <t>55-60</t>
  </si>
  <si>
    <t>HCAHeart7656535</t>
  </si>
  <si>
    <t>RV</t>
  </si>
  <si>
    <t>HCAHeart7656536</t>
  </si>
  <si>
    <t>LA</t>
  </si>
  <si>
    <t>HCAHeart7656537</t>
  </si>
  <si>
    <t>SP</t>
  </si>
  <si>
    <t>HCAHeart7656538</t>
  </si>
  <si>
    <t>HCAHeart7656539</t>
  </si>
  <si>
    <t>Nuclei</t>
  </si>
  <si>
    <t>60-65</t>
  </si>
  <si>
    <t>DCD</t>
  </si>
  <si>
    <t>HCAHeart7664652</t>
  </si>
  <si>
    <t>HCAHeart7664653</t>
  </si>
  <si>
    <t>HCAHeart7664654</t>
  </si>
  <si>
    <t>HCAHeart7698015</t>
  </si>
  <si>
    <t>HCAHeart7698016</t>
  </si>
  <si>
    <t>HCAHeart7698017</t>
  </si>
  <si>
    <t>HCAHeart7702873</t>
  </si>
  <si>
    <t>HCAHeart7702874</t>
  </si>
  <si>
    <t>HCAHeart7702875</t>
  </si>
  <si>
    <t>HCAHeart7702876</t>
  </si>
  <si>
    <t>HCAHeart7702877</t>
  </si>
  <si>
    <t>HCAHeart7702878</t>
  </si>
  <si>
    <t>RA</t>
  </si>
  <si>
    <t>HCAHeart7702879</t>
  </si>
  <si>
    <t>HCAHeart7702880</t>
  </si>
  <si>
    <t>HCAHeart7702881</t>
  </si>
  <si>
    <t>HCAHeart7702882</t>
  </si>
  <si>
    <t>HCAHeart7728604</t>
  </si>
  <si>
    <t>70-75</t>
  </si>
  <si>
    <t>HCAHeart7728605</t>
  </si>
  <si>
    <t>HCAHeart7728606</t>
  </si>
  <si>
    <t>HCAHeart7728607</t>
  </si>
  <si>
    <t>HCAHeart7728608</t>
  </si>
  <si>
    <t>HCAHeart7728609</t>
  </si>
  <si>
    <t>HCAHeart7745966</t>
  </si>
  <si>
    <t>65-70</t>
  </si>
  <si>
    <t>HCAHeart7745967</t>
  </si>
  <si>
    <t>HCAHeart7745968</t>
  </si>
  <si>
    <t>HCAHeart7745969</t>
  </si>
  <si>
    <t>HCAHeart7745970</t>
  </si>
  <si>
    <t>HCAHeart7751845</t>
  </si>
  <si>
    <t>HCAHeart7757636</t>
  </si>
  <si>
    <t>HCAHeart7757637</t>
  </si>
  <si>
    <t>HCAHeart7757638</t>
  </si>
  <si>
    <t>HCAHeart7757639</t>
  </si>
  <si>
    <t>HCAHeart7829976</t>
  </si>
  <si>
    <t>HCAHeart7829977</t>
  </si>
  <si>
    <t>HCAHeart7829978</t>
  </si>
  <si>
    <t>HCAHeart7829979</t>
  </si>
  <si>
    <t>HCAHeart7833852</t>
  </si>
  <si>
    <t>HCAHeart7833853</t>
  </si>
  <si>
    <t>HCAHeart7833854</t>
  </si>
  <si>
    <t>HCAHeart7833855</t>
  </si>
  <si>
    <t>HCAHeart7835148</t>
  </si>
  <si>
    <t>HCAHeart7835149</t>
  </si>
  <si>
    <t>HCAHeart7836681</t>
  </si>
  <si>
    <t>HCAHeart7836682</t>
  </si>
  <si>
    <t>HCAHeart7836683</t>
  </si>
  <si>
    <t>HCAHeart7836684</t>
  </si>
  <si>
    <t>HCAHeart7843999</t>
  </si>
  <si>
    <t>CD45+</t>
  </si>
  <si>
    <t>HCAHeart7844000</t>
  </si>
  <si>
    <t>HCAHeart7844001</t>
  </si>
  <si>
    <t>HCAHeart7844002</t>
  </si>
  <si>
    <t>HCAHeart7844003</t>
  </si>
  <si>
    <t>HCAHeart7844004</t>
  </si>
  <si>
    <t>HCAHeart7850539</t>
  </si>
  <si>
    <t>HCAHeart7850540</t>
  </si>
  <si>
    <t>HCAHeart7850541</t>
  </si>
  <si>
    <t>HCAHeart7850542</t>
  </si>
  <si>
    <t>HCAHeart7850543</t>
  </si>
  <si>
    <t>HCAHeart7850544</t>
  </si>
  <si>
    <t>HCAHeart7850545</t>
  </si>
  <si>
    <t>HCAHeart7850546</t>
  </si>
  <si>
    <t>HCAHeart7850547</t>
  </si>
  <si>
    <t>HCAHeart7850548</t>
  </si>
  <si>
    <t>HCAHeart7850549</t>
  </si>
  <si>
    <t>HCAHeart7850551</t>
  </si>
  <si>
    <t>HCAHeart7880860</t>
  </si>
  <si>
    <t>HCAHeart7880861</t>
  </si>
  <si>
    <t>HCAHeart7880862</t>
  </si>
  <si>
    <t>HCAHeart7880863</t>
  </si>
  <si>
    <t>HCAHeart7888922</t>
  </si>
  <si>
    <t>HCAHeart7888923</t>
  </si>
  <si>
    <t>HCAHeart7888924</t>
  </si>
  <si>
    <t>HCAHeart7888925</t>
  </si>
  <si>
    <t>HCAHeart7888926</t>
  </si>
  <si>
    <t>HCAHeart7888927</t>
  </si>
  <si>
    <t>HCAHeart7888928</t>
  </si>
  <si>
    <t>HCAHeart7888929</t>
  </si>
  <si>
    <t>HCAHeart7905327</t>
  </si>
  <si>
    <t>V3</t>
  </si>
  <si>
    <t>HCAHeart7905328</t>
  </si>
  <si>
    <t>HCAHeart7905329</t>
  </si>
  <si>
    <t>HCAHeart7905330</t>
  </si>
  <si>
    <t>HCAHeart7905331</t>
  </si>
  <si>
    <t>HCAHeart7905332</t>
  </si>
  <si>
    <t>HCAHeart7964513</t>
  </si>
  <si>
    <t>HCAHeart7985086</t>
  </si>
  <si>
    <t>HCAHeart7985087</t>
  </si>
  <si>
    <t>HCAHeart7985088</t>
  </si>
  <si>
    <t>HCAHeart7985089</t>
  </si>
  <si>
    <t>HCAHeart8102857</t>
  </si>
  <si>
    <t>HCAHeart8102858</t>
  </si>
  <si>
    <t>HCAHeart8102859</t>
  </si>
  <si>
    <t>HCAHeart8102860</t>
  </si>
  <si>
    <t>HCAHeart8102861</t>
  </si>
  <si>
    <t>HCAHeart8102862</t>
  </si>
  <si>
    <t>HCAHeart8102863</t>
  </si>
  <si>
    <t>HCAHeart8102864</t>
  </si>
  <si>
    <t>HCAHeart8102865</t>
  </si>
  <si>
    <t>HCAHeart8102866</t>
  </si>
  <si>
    <t>HCAHeart8102867</t>
  </si>
  <si>
    <t>HCAHeart8102868</t>
  </si>
  <si>
    <t>HCAHeart8287123</t>
  </si>
  <si>
    <t>HCAHeart8287124</t>
  </si>
  <si>
    <t>HCAHeart8287125</t>
  </si>
  <si>
    <t>HCAHeart8287126</t>
  </si>
  <si>
    <t>HCAHeart8287127</t>
  </si>
  <si>
    <t>HCAHeart8287128</t>
  </si>
  <si>
    <t>H0015_apex</t>
  </si>
  <si>
    <t>H5</t>
  </si>
  <si>
    <t>H0015_LA_new</t>
  </si>
  <si>
    <t>H0015_LV</t>
  </si>
  <si>
    <t>H0015_RA</t>
  </si>
  <si>
    <t>H0015_RV</t>
  </si>
  <si>
    <t>H0015_septum</t>
  </si>
  <si>
    <t>H0020_apex</t>
  </si>
  <si>
    <t>H6</t>
  </si>
  <si>
    <t>40-45</t>
  </si>
  <si>
    <t>H0020_LA_new</t>
  </si>
  <si>
    <t>H0020_LV</t>
  </si>
  <si>
    <t>H0020_RA</t>
  </si>
  <si>
    <t>H0020_RV</t>
  </si>
  <si>
    <t>H0020_septum</t>
  </si>
  <si>
    <t>H0025_apex</t>
  </si>
  <si>
    <t>H3</t>
  </si>
  <si>
    <t>H0025_LA</t>
  </si>
  <si>
    <t>H0025_LV</t>
  </si>
  <si>
    <t>H0025_RA</t>
  </si>
  <si>
    <t>H0025_RV</t>
  </si>
  <si>
    <t>H0025_septum</t>
  </si>
  <si>
    <t>H0026_apex</t>
  </si>
  <si>
    <t>H2</t>
  </si>
  <si>
    <t>H0026_LA</t>
  </si>
  <si>
    <t>H0026_LV_V3</t>
  </si>
  <si>
    <t>H0026_RA</t>
  </si>
  <si>
    <t>H0026_RV</t>
  </si>
  <si>
    <t>H0026_septum2</t>
  </si>
  <si>
    <t>H0035_apex</t>
  </si>
  <si>
    <t>H7</t>
  </si>
  <si>
    <t>45-50</t>
  </si>
  <si>
    <t>H0035_LA</t>
  </si>
  <si>
    <t>H0035_LV</t>
  </si>
  <si>
    <t>H0035_RA</t>
  </si>
  <si>
    <t>H0035_RV</t>
  </si>
  <si>
    <t>H0035_septum</t>
  </si>
  <si>
    <t>H0037_Apex</t>
  </si>
  <si>
    <t>H4</t>
  </si>
  <si>
    <t>H0037_RA_corr</t>
  </si>
  <si>
    <t>H0037_LV</t>
  </si>
  <si>
    <t>H0037_LA_corr</t>
  </si>
  <si>
    <t>H0037_RV</t>
  </si>
  <si>
    <t>H0037_septum</t>
  </si>
  <si>
    <t>H0037_LA</t>
  </si>
  <si>
    <t>H0037_RA</t>
  </si>
  <si>
    <t>DCD = Donation after Circulatory Death</t>
  </si>
  <si>
    <t>DBD = Donation after Brain Death</t>
  </si>
  <si>
    <t>Cells Quantified</t>
  </si>
  <si>
    <t>Comparison</t>
  </si>
  <si>
    <t>Aorta - Male:Female</t>
  </si>
  <si>
    <t>Bootstrap (P=)</t>
  </si>
  <si>
    <t>Tibial Artery - Male:Female</t>
  </si>
  <si>
    <t>Coronary Artery- Male:Female</t>
  </si>
  <si>
    <r>
      <t>Mann-Whitney U (</t>
    </r>
    <r>
      <rPr>
        <b/>
        <i/>
        <sz val="12"/>
        <color theme="1"/>
        <rFont val="Aptos Narrow"/>
        <scheme val="minor"/>
      </rPr>
      <t>P</t>
    </r>
    <r>
      <rPr>
        <b/>
        <sz val="12"/>
        <color theme="1"/>
        <rFont val="Aptos Narrow"/>
        <scheme val="minor"/>
      </rPr>
      <t>=)</t>
    </r>
  </si>
  <si>
    <t>Effect size - Cohen’s (d=)</t>
  </si>
  <si>
    <t>Atrium - Male:Female</t>
  </si>
  <si>
    <t>Left Ventricle - Male:Female</t>
  </si>
  <si>
    <t>Supplementary Table 2. Statistical Analyses of Sex Differences</t>
  </si>
  <si>
    <t>#</t>
  </si>
  <si>
    <t>Total GTEx Samples</t>
  </si>
  <si>
    <t>GTEx LRP1 Expression by Sex - Number of Samples:</t>
  </si>
  <si>
    <t>GTEx LRP1 Expression by Age and Sex - Number of Samples:</t>
  </si>
  <si>
    <t>Donor Details and Samples Contributed to scRNASeq (Zhao et al., 2025 Dataset)</t>
  </si>
  <si>
    <t>Ethnic Origin</t>
  </si>
  <si>
    <t>Primary diagnosis</t>
  </si>
  <si>
    <t>Cause of death (DBD or DCD)</t>
  </si>
  <si>
    <t>Height (cm)</t>
  </si>
  <si>
    <t>Weight (Kg)</t>
  </si>
  <si>
    <t>Girth (cm)</t>
  </si>
  <si>
    <t>BMI</t>
  </si>
  <si>
    <t>Hypertension</t>
  </si>
  <si>
    <t>Diabetes</t>
  </si>
  <si>
    <t xml:space="preserve">Cancer </t>
  </si>
  <si>
    <t>Pulmonary disease</t>
  </si>
  <si>
    <t>Liver disease</t>
  </si>
  <si>
    <t>Echocardiography (LVEF %)</t>
  </si>
  <si>
    <t>D1</t>
  </si>
  <si>
    <t>Caucasian</t>
  </si>
  <si>
    <t>CVA (stroke)</t>
  </si>
  <si>
    <t>155-160</t>
  </si>
  <si>
    <t>80-85</t>
  </si>
  <si>
    <t>20-25</t>
  </si>
  <si>
    <t>Y</t>
  </si>
  <si>
    <t>N</t>
  </si>
  <si>
    <t>&gt;60%</t>
  </si>
  <si>
    <t>D2</t>
  </si>
  <si>
    <t>Trauma</t>
  </si>
  <si>
    <t>170-175</t>
  </si>
  <si>
    <t>90-95</t>
  </si>
  <si>
    <t>25-30</t>
  </si>
  <si>
    <t>D3</t>
  </si>
  <si>
    <t>170-176</t>
  </si>
  <si>
    <t>N/A</t>
  </si>
  <si>
    <t>D4</t>
  </si>
  <si>
    <t>160-165</t>
  </si>
  <si>
    <t>D5</t>
  </si>
  <si>
    <t>150-155</t>
  </si>
  <si>
    <t>100-105</t>
  </si>
  <si>
    <t>30-35</t>
  </si>
  <si>
    <t>D6</t>
  </si>
  <si>
    <t>175-180</t>
  </si>
  <si>
    <t>105-110</t>
  </si>
  <si>
    <t>D7</t>
  </si>
  <si>
    <t>180-185</t>
  </si>
  <si>
    <t>95-100</t>
  </si>
  <si>
    <t>D11</t>
  </si>
  <si>
    <t xml:space="preserve">Trauma </t>
  </si>
  <si>
    <t xml:space="preserve">CVA </t>
  </si>
  <si>
    <t xml:space="preserve"> &gt;60%</t>
  </si>
  <si>
    <t>Asian</t>
  </si>
  <si>
    <t>Suicide</t>
  </si>
  <si>
    <t>60%.</t>
  </si>
  <si>
    <t>85-90</t>
  </si>
  <si>
    <t xml:space="preserve">Y </t>
  </si>
  <si>
    <t>55-60%</t>
  </si>
  <si>
    <t>50-55%</t>
  </si>
  <si>
    <t>Donor Details and Samples Contributed to scRNASeq (Litviňuková et al., 2020 Dataset from Supplementary Table 1 &amp; 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</si>
</sst>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1" applyNumberFormat="0" applyFill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6" fillId="0" borderId="0" xfId="2" applyFont="1" applyFill="1" applyBorder="1"/>
    <xf numFmtId="0" fontId="6" fillId="0" borderId="0" xfId="2" applyFont="1" applyBorder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0" xfId="1" applyNumberFormat="1" applyFont="1"/>
    <xf numFmtId="3" fontId="0" fillId="0" borderId="0" xfId="0" applyNumberFormat="1"/>
    <xf numFmtId="0" fontId="7" fillId="0" borderId="0" xfId="0" applyFont="1"/>
    <xf numFmtId="0" fontId="8" fillId="0" borderId="0" xfId="0" applyFont="1"/>
    <xf numFmtId="0" fontId="10" fillId="0" borderId="0" xfId="0" applyFont="1"/>
    <xf numFmtId="164" fontId="0" fillId="0" borderId="0" xfId="1" applyNumberFormat="1" applyFont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0" fillId="0" borderId="0" xfId="0" applyBorder="1"/>
    <xf numFmtId="0" fontId="0" fillId="0" borderId="0" xfId="0" applyFill="1" applyBorder="1"/>
    <xf numFmtId="0" fontId="11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9" fontId="14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2" fillId="0" borderId="0" xfId="0" applyFont="1" applyFill="1" applyBorder="1"/>
    <xf numFmtId="164" fontId="3" fillId="0" borderId="0" xfId="1" applyNumberFormat="1" applyFont="1" applyFill="1" applyBorder="1"/>
    <xf numFmtId="0" fontId="2" fillId="2" borderId="0" xfId="0" applyFont="1" applyFill="1"/>
    <xf numFmtId="164" fontId="3" fillId="2" borderId="0" xfId="1" applyNumberFormat="1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3">
    <cellStyle name="Comma" xfId="1" builtinId="3"/>
    <cellStyle name="Heading 2" xfId="2" builtinId="17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8557-BE7D-3941-B189-ECFCBB19C1F7}">
  <dimension ref="A1:Q236"/>
  <sheetViews>
    <sheetView tabSelected="1" topLeftCell="A32" zoomScale="94" workbookViewId="0">
      <selection activeCell="F48" sqref="F48:F53"/>
    </sheetView>
  </sheetViews>
  <sheetFormatPr baseColWidth="10" defaultRowHeight="16" x14ac:dyDescent="0.2"/>
  <cols>
    <col min="1" max="1" width="18.83203125" customWidth="1"/>
    <col min="2" max="2" width="21.6640625" customWidth="1"/>
    <col min="3" max="3" width="17.5" customWidth="1"/>
    <col min="4" max="4" width="18.1640625" customWidth="1"/>
    <col min="5" max="5" width="13.1640625" customWidth="1"/>
    <col min="6" max="6" width="17.1640625" customWidth="1"/>
    <col min="7" max="7" width="13.33203125" customWidth="1"/>
    <col min="9" max="9" width="16.6640625" customWidth="1"/>
    <col min="10" max="10" width="12.83203125" customWidth="1"/>
    <col min="11" max="11" width="17.33203125" customWidth="1"/>
  </cols>
  <sheetData>
    <row r="1" spans="1:8" s="32" customFormat="1" ht="22" x14ac:dyDescent="0.3">
      <c r="A1" s="31" t="s">
        <v>0</v>
      </c>
    </row>
    <row r="2" spans="1:8" x14ac:dyDescent="0.2">
      <c r="A2" s="2"/>
    </row>
    <row r="3" spans="1:8" x14ac:dyDescent="0.2">
      <c r="A3" s="3" t="s">
        <v>1</v>
      </c>
      <c r="B3" s="3" t="s">
        <v>2</v>
      </c>
      <c r="C3" s="3" t="s">
        <v>3</v>
      </c>
      <c r="D3" s="3" t="s">
        <v>4</v>
      </c>
      <c r="F3" s="3" t="s">
        <v>257</v>
      </c>
      <c r="G3" s="3"/>
      <c r="H3" s="3"/>
    </row>
    <row r="4" spans="1:8" x14ac:dyDescent="0.2">
      <c r="A4" t="s">
        <v>5</v>
      </c>
      <c r="B4">
        <v>691</v>
      </c>
      <c r="C4">
        <f>D4-B4</f>
        <v>-6</v>
      </c>
      <c r="D4">
        <v>685</v>
      </c>
      <c r="F4" s="15">
        <f>SUM(D4:D8)</f>
        <v>2310</v>
      </c>
    </row>
    <row r="5" spans="1:8" x14ac:dyDescent="0.2">
      <c r="A5" t="s">
        <v>6</v>
      </c>
      <c r="B5">
        <v>472</v>
      </c>
      <c r="C5">
        <f t="shared" ref="C5:C6" si="0">D5-B5</f>
        <v>-12</v>
      </c>
      <c r="D5">
        <v>460</v>
      </c>
    </row>
    <row r="6" spans="1:8" x14ac:dyDescent="0.2">
      <c r="A6" t="s">
        <v>7</v>
      </c>
      <c r="B6">
        <v>268</v>
      </c>
      <c r="C6">
        <f t="shared" si="0"/>
        <v>-3</v>
      </c>
      <c r="D6">
        <v>265</v>
      </c>
    </row>
    <row r="7" spans="1:8" x14ac:dyDescent="0.2">
      <c r="A7" t="s">
        <v>8</v>
      </c>
      <c r="B7">
        <v>461</v>
      </c>
      <c r="C7">
        <f>D7-B7</f>
        <v>-4</v>
      </c>
      <c r="D7">
        <v>457</v>
      </c>
    </row>
    <row r="8" spans="1:8" x14ac:dyDescent="0.2">
      <c r="A8" t="s">
        <v>9</v>
      </c>
      <c r="B8">
        <v>452</v>
      </c>
      <c r="C8">
        <f>D8-B8</f>
        <v>-9</v>
      </c>
      <c r="D8">
        <v>443</v>
      </c>
    </row>
    <row r="10" spans="1:8" ht="22" x14ac:dyDescent="0.3">
      <c r="A10" s="1" t="s">
        <v>258</v>
      </c>
    </row>
    <row r="11" spans="1:8" x14ac:dyDescent="0.2">
      <c r="A11" s="3" t="s">
        <v>1</v>
      </c>
      <c r="B11" s="3" t="s">
        <v>10</v>
      </c>
      <c r="C11" s="3" t="s">
        <v>2</v>
      </c>
      <c r="D11" s="3" t="s">
        <v>3</v>
      </c>
      <c r="E11" s="3" t="s">
        <v>4</v>
      </c>
    </row>
    <row r="12" spans="1:8" x14ac:dyDescent="0.2">
      <c r="A12" t="s">
        <v>5</v>
      </c>
      <c r="B12" t="s">
        <v>11</v>
      </c>
      <c r="C12">
        <v>221</v>
      </c>
      <c r="D12">
        <f>E12-C12</f>
        <v>-1</v>
      </c>
      <c r="E12">
        <v>220</v>
      </c>
    </row>
    <row r="13" spans="1:8" x14ac:dyDescent="0.2">
      <c r="A13" t="s">
        <v>5</v>
      </c>
      <c r="B13" t="s">
        <v>12</v>
      </c>
      <c r="C13">
        <v>472</v>
      </c>
      <c r="D13">
        <f t="shared" ref="D13:D21" si="1">E13-C13</f>
        <v>-7</v>
      </c>
      <c r="E13">
        <v>465</v>
      </c>
    </row>
    <row r="14" spans="1:8" x14ac:dyDescent="0.2">
      <c r="A14" t="s">
        <v>6</v>
      </c>
      <c r="B14" t="s">
        <v>11</v>
      </c>
      <c r="C14">
        <v>165</v>
      </c>
      <c r="D14">
        <f t="shared" si="1"/>
        <v>-3</v>
      </c>
      <c r="E14">
        <v>162</v>
      </c>
    </row>
    <row r="15" spans="1:8" x14ac:dyDescent="0.2">
      <c r="A15" t="s">
        <v>6</v>
      </c>
      <c r="B15" t="s">
        <v>12</v>
      </c>
      <c r="C15">
        <v>309</v>
      </c>
      <c r="D15">
        <f t="shared" si="1"/>
        <v>-11</v>
      </c>
      <c r="E15">
        <v>298</v>
      </c>
    </row>
    <row r="16" spans="1:8" x14ac:dyDescent="0.2">
      <c r="A16" t="s">
        <v>7</v>
      </c>
      <c r="B16" t="s">
        <v>11</v>
      </c>
      <c r="C16">
        <v>101</v>
      </c>
      <c r="D16">
        <f t="shared" si="1"/>
        <v>-2</v>
      </c>
      <c r="E16">
        <v>99</v>
      </c>
    </row>
    <row r="17" spans="1:12" x14ac:dyDescent="0.2">
      <c r="A17" t="s">
        <v>7</v>
      </c>
      <c r="B17" t="s">
        <v>12</v>
      </c>
      <c r="C17">
        <v>169</v>
      </c>
      <c r="D17">
        <f t="shared" si="1"/>
        <v>-3</v>
      </c>
      <c r="E17">
        <v>166</v>
      </c>
    </row>
    <row r="18" spans="1:12" x14ac:dyDescent="0.2">
      <c r="A18" t="s">
        <v>8</v>
      </c>
      <c r="B18" t="s">
        <v>11</v>
      </c>
      <c r="C18">
        <v>143</v>
      </c>
      <c r="D18">
        <f t="shared" si="1"/>
        <v>-2</v>
      </c>
      <c r="E18">
        <v>141</v>
      </c>
    </row>
    <row r="19" spans="1:12" x14ac:dyDescent="0.2">
      <c r="A19" t="s">
        <v>8</v>
      </c>
      <c r="B19" t="s">
        <v>12</v>
      </c>
      <c r="C19">
        <v>318</v>
      </c>
      <c r="D19">
        <f t="shared" si="1"/>
        <v>-2</v>
      </c>
      <c r="E19">
        <v>316</v>
      </c>
    </row>
    <row r="20" spans="1:12" x14ac:dyDescent="0.2">
      <c r="A20" t="s">
        <v>9</v>
      </c>
      <c r="B20" t="s">
        <v>11</v>
      </c>
      <c r="C20">
        <v>144</v>
      </c>
      <c r="D20">
        <f t="shared" si="1"/>
        <v>-3</v>
      </c>
      <c r="E20">
        <v>141</v>
      </c>
    </row>
    <row r="21" spans="1:12" x14ac:dyDescent="0.2">
      <c r="A21" t="s">
        <v>9</v>
      </c>
      <c r="B21" t="s">
        <v>12</v>
      </c>
      <c r="C21">
        <v>308</v>
      </c>
      <c r="D21">
        <f t="shared" si="1"/>
        <v>-7</v>
      </c>
      <c r="E21">
        <v>301</v>
      </c>
    </row>
    <row r="23" spans="1:12" ht="22" x14ac:dyDescent="0.3">
      <c r="A23" s="1" t="s">
        <v>259</v>
      </c>
    </row>
    <row r="24" spans="1:12" x14ac:dyDescent="0.2">
      <c r="A24" s="3" t="s">
        <v>1</v>
      </c>
      <c r="B24" s="3" t="s">
        <v>10</v>
      </c>
      <c r="D24" s="3" t="s">
        <v>13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 t="s">
        <v>19</v>
      </c>
      <c r="L24" s="3"/>
    </row>
    <row r="25" spans="1:12" x14ac:dyDescent="0.2">
      <c r="A25" t="s">
        <v>5</v>
      </c>
      <c r="B25" t="s">
        <v>11</v>
      </c>
      <c r="C25" t="s">
        <v>20</v>
      </c>
      <c r="D25">
        <v>18</v>
      </c>
      <c r="E25">
        <v>15</v>
      </c>
      <c r="F25">
        <v>46</v>
      </c>
      <c r="G25">
        <v>70</v>
      </c>
      <c r="H25">
        <v>65</v>
      </c>
      <c r="I25">
        <v>6</v>
      </c>
      <c r="J25">
        <f>SUM(D25:I25)</f>
        <v>220</v>
      </c>
    </row>
    <row r="26" spans="1:12" x14ac:dyDescent="0.2">
      <c r="A26" t="s">
        <v>5</v>
      </c>
      <c r="B26" t="s">
        <v>11</v>
      </c>
      <c r="C26" t="s">
        <v>21</v>
      </c>
      <c r="D26" s="2">
        <v>17</v>
      </c>
      <c r="E26" s="2">
        <v>13</v>
      </c>
      <c r="F26" s="2">
        <v>45</v>
      </c>
      <c r="G26" s="2">
        <v>70</v>
      </c>
      <c r="H26" s="2">
        <v>65</v>
      </c>
      <c r="I26" s="2">
        <v>6</v>
      </c>
      <c r="J26">
        <f t="shared" ref="J26:J44" si="2">SUM(D26:I26)</f>
        <v>216</v>
      </c>
    </row>
    <row r="27" spans="1:12" x14ac:dyDescent="0.2">
      <c r="A27" t="s">
        <v>5</v>
      </c>
      <c r="B27" t="s">
        <v>12</v>
      </c>
      <c r="C27" t="s">
        <v>20</v>
      </c>
      <c r="D27">
        <v>41</v>
      </c>
      <c r="E27">
        <v>45</v>
      </c>
      <c r="F27">
        <v>72</v>
      </c>
      <c r="G27">
        <v>154</v>
      </c>
      <c r="H27">
        <v>144</v>
      </c>
      <c r="I27">
        <v>15</v>
      </c>
      <c r="J27">
        <f t="shared" si="2"/>
        <v>471</v>
      </c>
    </row>
    <row r="28" spans="1:12" x14ac:dyDescent="0.2">
      <c r="A28" t="s">
        <v>5</v>
      </c>
      <c r="B28" t="s">
        <v>12</v>
      </c>
      <c r="C28" t="s">
        <v>21</v>
      </c>
      <c r="D28" s="2">
        <v>39</v>
      </c>
      <c r="E28" s="2">
        <v>44</v>
      </c>
      <c r="F28" s="2">
        <v>72</v>
      </c>
      <c r="G28" s="2">
        <v>152</v>
      </c>
      <c r="H28" s="2">
        <v>143</v>
      </c>
      <c r="I28" s="2">
        <v>15</v>
      </c>
      <c r="J28">
        <f t="shared" si="2"/>
        <v>465</v>
      </c>
    </row>
    <row r="29" spans="1:12" x14ac:dyDescent="0.2">
      <c r="A29" t="s">
        <v>6</v>
      </c>
      <c r="B29" t="s">
        <v>11</v>
      </c>
      <c r="C29" t="s">
        <v>20</v>
      </c>
      <c r="D29">
        <v>14</v>
      </c>
      <c r="E29">
        <v>16</v>
      </c>
      <c r="F29">
        <v>29</v>
      </c>
      <c r="G29">
        <v>54</v>
      </c>
      <c r="H29">
        <v>48</v>
      </c>
      <c r="I29">
        <v>3</v>
      </c>
      <c r="J29">
        <f t="shared" si="2"/>
        <v>164</v>
      </c>
    </row>
    <row r="30" spans="1:12" x14ac:dyDescent="0.2">
      <c r="A30" t="s">
        <v>6</v>
      </c>
      <c r="B30" t="s">
        <v>11</v>
      </c>
      <c r="C30" t="s">
        <v>21</v>
      </c>
      <c r="D30" s="2">
        <v>14</v>
      </c>
      <c r="E30" s="2">
        <v>16</v>
      </c>
      <c r="F30" s="2">
        <v>28</v>
      </c>
      <c r="G30" s="2">
        <v>54</v>
      </c>
      <c r="H30" s="2">
        <v>47</v>
      </c>
      <c r="I30" s="2">
        <v>3</v>
      </c>
      <c r="J30">
        <f t="shared" si="2"/>
        <v>162</v>
      </c>
    </row>
    <row r="31" spans="1:12" x14ac:dyDescent="0.2">
      <c r="A31" t="s">
        <v>6</v>
      </c>
      <c r="B31" t="s">
        <v>12</v>
      </c>
      <c r="C31" t="s">
        <v>20</v>
      </c>
      <c r="D31">
        <v>25</v>
      </c>
      <c r="E31">
        <v>26</v>
      </c>
      <c r="F31">
        <v>48</v>
      </c>
      <c r="G31">
        <v>107</v>
      </c>
      <c r="H31">
        <v>96</v>
      </c>
      <c r="I31">
        <v>6</v>
      </c>
      <c r="J31">
        <f t="shared" si="2"/>
        <v>308</v>
      </c>
    </row>
    <row r="32" spans="1:12" x14ac:dyDescent="0.2">
      <c r="A32" t="s">
        <v>6</v>
      </c>
      <c r="B32" t="s">
        <v>12</v>
      </c>
      <c r="C32" t="s">
        <v>21</v>
      </c>
      <c r="D32" s="2">
        <v>24</v>
      </c>
      <c r="E32" s="2">
        <v>25</v>
      </c>
      <c r="F32" s="2">
        <v>46</v>
      </c>
      <c r="G32" s="2">
        <v>103</v>
      </c>
      <c r="H32" s="2">
        <v>90</v>
      </c>
      <c r="I32" s="2">
        <v>5</v>
      </c>
      <c r="J32">
        <f t="shared" si="2"/>
        <v>293</v>
      </c>
    </row>
    <row r="33" spans="1:16" x14ac:dyDescent="0.2">
      <c r="A33" t="s">
        <v>7</v>
      </c>
      <c r="B33" t="s">
        <v>11</v>
      </c>
      <c r="C33" t="s">
        <v>20</v>
      </c>
      <c r="D33">
        <v>7</v>
      </c>
      <c r="E33">
        <v>6</v>
      </c>
      <c r="F33">
        <v>19</v>
      </c>
      <c r="G33">
        <v>33</v>
      </c>
      <c r="H33">
        <v>34</v>
      </c>
      <c r="I33">
        <v>1</v>
      </c>
      <c r="J33">
        <f t="shared" si="2"/>
        <v>100</v>
      </c>
    </row>
    <row r="34" spans="1:16" x14ac:dyDescent="0.2">
      <c r="A34" t="s">
        <v>7</v>
      </c>
      <c r="B34" t="s">
        <v>11</v>
      </c>
      <c r="C34" t="s">
        <v>21</v>
      </c>
      <c r="D34" s="2">
        <v>7</v>
      </c>
      <c r="E34" s="2">
        <v>6</v>
      </c>
      <c r="F34" s="2">
        <v>18</v>
      </c>
      <c r="G34" s="2">
        <v>33</v>
      </c>
      <c r="H34" s="2">
        <v>34</v>
      </c>
      <c r="I34" s="2">
        <v>1</v>
      </c>
      <c r="J34">
        <f t="shared" si="2"/>
        <v>99</v>
      </c>
    </row>
    <row r="35" spans="1:16" x14ac:dyDescent="0.2">
      <c r="A35" t="s">
        <v>7</v>
      </c>
      <c r="B35" t="s">
        <v>12</v>
      </c>
      <c r="C35" t="s">
        <v>20</v>
      </c>
      <c r="D35">
        <v>9</v>
      </c>
      <c r="E35">
        <v>7</v>
      </c>
      <c r="F35">
        <v>23</v>
      </c>
      <c r="G35">
        <v>72</v>
      </c>
      <c r="H35">
        <v>52</v>
      </c>
      <c r="I35">
        <v>5</v>
      </c>
      <c r="J35">
        <f t="shared" si="2"/>
        <v>168</v>
      </c>
    </row>
    <row r="36" spans="1:16" x14ac:dyDescent="0.2">
      <c r="A36" t="s">
        <v>7</v>
      </c>
      <c r="B36" t="s">
        <v>12</v>
      </c>
      <c r="C36" t="s">
        <v>21</v>
      </c>
      <c r="D36" s="2">
        <v>9</v>
      </c>
      <c r="E36" s="2">
        <v>7</v>
      </c>
      <c r="F36" s="2">
        <v>23</v>
      </c>
      <c r="G36" s="2">
        <v>70</v>
      </c>
      <c r="H36" s="2">
        <v>50</v>
      </c>
      <c r="I36" s="2">
        <v>5</v>
      </c>
      <c r="J36">
        <f t="shared" si="2"/>
        <v>164</v>
      </c>
    </row>
    <row r="37" spans="1:16" x14ac:dyDescent="0.2">
      <c r="A37" t="s">
        <v>8</v>
      </c>
      <c r="B37" t="s">
        <v>11</v>
      </c>
      <c r="C37" t="s">
        <v>20</v>
      </c>
      <c r="D37">
        <v>5</v>
      </c>
      <c r="E37">
        <v>7</v>
      </c>
      <c r="F37">
        <v>24</v>
      </c>
      <c r="G37">
        <v>51</v>
      </c>
      <c r="H37">
        <v>52</v>
      </c>
      <c r="I37">
        <v>6</v>
      </c>
      <c r="J37">
        <f t="shared" si="2"/>
        <v>145</v>
      </c>
    </row>
    <row r="38" spans="1:16" x14ac:dyDescent="0.2">
      <c r="A38" t="s">
        <v>8</v>
      </c>
      <c r="B38" t="s">
        <v>11</v>
      </c>
      <c r="C38" t="s">
        <v>21</v>
      </c>
      <c r="D38" s="2">
        <v>5</v>
      </c>
      <c r="E38" s="2">
        <v>7</v>
      </c>
      <c r="F38" s="2">
        <v>23</v>
      </c>
      <c r="G38" s="2">
        <v>51</v>
      </c>
      <c r="H38" s="2">
        <v>52</v>
      </c>
      <c r="I38" s="2">
        <v>6</v>
      </c>
      <c r="J38">
        <f t="shared" si="2"/>
        <v>144</v>
      </c>
    </row>
    <row r="39" spans="1:16" x14ac:dyDescent="0.2">
      <c r="A39" t="s">
        <v>8</v>
      </c>
      <c r="B39" t="s">
        <v>12</v>
      </c>
      <c r="C39" t="s">
        <v>20</v>
      </c>
      <c r="D39">
        <v>10</v>
      </c>
      <c r="E39">
        <v>10</v>
      </c>
      <c r="F39">
        <v>39</v>
      </c>
      <c r="G39">
        <v>117</v>
      </c>
      <c r="H39">
        <v>129</v>
      </c>
      <c r="I39">
        <v>13</v>
      </c>
      <c r="J39">
        <f t="shared" si="2"/>
        <v>318</v>
      </c>
    </row>
    <row r="40" spans="1:16" x14ac:dyDescent="0.2">
      <c r="A40" t="s">
        <v>8</v>
      </c>
      <c r="B40" t="s">
        <v>12</v>
      </c>
      <c r="C40" t="s">
        <v>21</v>
      </c>
      <c r="D40" s="2">
        <v>10</v>
      </c>
      <c r="E40" s="2">
        <v>9</v>
      </c>
      <c r="F40" s="2">
        <v>39</v>
      </c>
      <c r="G40" s="2">
        <v>117</v>
      </c>
      <c r="H40" s="2">
        <v>127</v>
      </c>
      <c r="I40" s="2">
        <v>13</v>
      </c>
      <c r="J40">
        <f t="shared" si="2"/>
        <v>315</v>
      </c>
    </row>
    <row r="41" spans="1:16" x14ac:dyDescent="0.2">
      <c r="A41" t="s">
        <v>9</v>
      </c>
      <c r="B41" t="s">
        <v>11</v>
      </c>
      <c r="C41" t="s">
        <v>20</v>
      </c>
      <c r="D41">
        <v>10</v>
      </c>
      <c r="E41">
        <v>10</v>
      </c>
      <c r="F41">
        <v>21</v>
      </c>
      <c r="G41">
        <v>50</v>
      </c>
      <c r="H41">
        <v>49</v>
      </c>
      <c r="I41">
        <v>4</v>
      </c>
      <c r="J41">
        <f t="shared" si="2"/>
        <v>144</v>
      </c>
    </row>
    <row r="42" spans="1:16" x14ac:dyDescent="0.2">
      <c r="A42" t="s">
        <v>9</v>
      </c>
      <c r="B42" t="s">
        <v>11</v>
      </c>
      <c r="C42" t="s">
        <v>21</v>
      </c>
      <c r="D42" s="2">
        <v>10</v>
      </c>
      <c r="E42" s="2">
        <v>10</v>
      </c>
      <c r="F42" s="2">
        <v>20</v>
      </c>
      <c r="G42" s="2">
        <v>67</v>
      </c>
      <c r="H42" s="2">
        <v>61</v>
      </c>
      <c r="I42" s="2">
        <v>4</v>
      </c>
      <c r="J42">
        <f t="shared" si="2"/>
        <v>172</v>
      </c>
    </row>
    <row r="43" spans="1:16" x14ac:dyDescent="0.2">
      <c r="A43" t="s">
        <v>9</v>
      </c>
      <c r="B43" t="s">
        <v>12</v>
      </c>
      <c r="C43" t="s">
        <v>20</v>
      </c>
      <c r="D43">
        <v>10</v>
      </c>
      <c r="E43">
        <v>10</v>
      </c>
      <c r="F43">
        <v>39</v>
      </c>
      <c r="G43">
        <v>117</v>
      </c>
      <c r="H43">
        <v>129</v>
      </c>
      <c r="I43">
        <v>13</v>
      </c>
      <c r="J43">
        <f t="shared" si="2"/>
        <v>318</v>
      </c>
    </row>
    <row r="44" spans="1:16" x14ac:dyDescent="0.2">
      <c r="A44" t="s">
        <v>9</v>
      </c>
      <c r="B44" t="s">
        <v>12</v>
      </c>
      <c r="C44" t="s">
        <v>21</v>
      </c>
      <c r="D44" s="2">
        <v>10</v>
      </c>
      <c r="E44" s="2">
        <v>9</v>
      </c>
      <c r="F44" s="2">
        <v>39</v>
      </c>
      <c r="G44" s="2">
        <v>117</v>
      </c>
      <c r="H44" s="2">
        <v>127</v>
      </c>
      <c r="I44" s="2">
        <v>13</v>
      </c>
      <c r="J44">
        <f t="shared" si="2"/>
        <v>315</v>
      </c>
    </row>
    <row r="46" spans="1:16" s="30" customFormat="1" ht="22" x14ac:dyDescent="0.3">
      <c r="A46" s="29" t="s">
        <v>260</v>
      </c>
    </row>
    <row r="47" spans="1:16" ht="18" x14ac:dyDescent="0.25">
      <c r="A47" s="5" t="s">
        <v>22</v>
      </c>
      <c r="B47" s="5" t="s">
        <v>23</v>
      </c>
      <c r="C47" s="5" t="s">
        <v>24</v>
      </c>
      <c r="D47" s="5" t="s">
        <v>25</v>
      </c>
      <c r="E47" s="5" t="s">
        <v>26</v>
      </c>
      <c r="F47" s="5" t="s">
        <v>27</v>
      </c>
      <c r="G47" s="4" t="s">
        <v>28</v>
      </c>
      <c r="H47" s="6" t="s">
        <v>29</v>
      </c>
      <c r="I47" s="6" t="s">
        <v>30</v>
      </c>
      <c r="J47" s="6" t="s">
        <v>31</v>
      </c>
      <c r="K47" s="6" t="s">
        <v>32</v>
      </c>
      <c r="L47" s="6" t="s">
        <v>33</v>
      </c>
      <c r="M47" s="6" t="s">
        <v>34</v>
      </c>
      <c r="N47" s="6" t="s">
        <v>35</v>
      </c>
      <c r="O47" s="6" t="s">
        <v>36</v>
      </c>
      <c r="P47" s="6" t="s">
        <v>37</v>
      </c>
    </row>
    <row r="48" spans="1:16" x14ac:dyDescent="0.2">
      <c r="A48" s="7">
        <v>1</v>
      </c>
      <c r="B48" s="7">
        <v>67</v>
      </c>
      <c r="C48" s="7" t="s">
        <v>38</v>
      </c>
      <c r="D48">
        <v>31.5</v>
      </c>
      <c r="E48" t="s">
        <v>39</v>
      </c>
      <c r="F48" s="7" t="s">
        <v>40</v>
      </c>
      <c r="G48" s="8">
        <v>8</v>
      </c>
      <c r="H48" s="8" t="s">
        <v>41</v>
      </c>
      <c r="I48" s="8" t="s">
        <v>41</v>
      </c>
      <c r="J48" s="8" t="s">
        <v>41</v>
      </c>
      <c r="K48" s="8" t="s">
        <v>41</v>
      </c>
      <c r="L48" s="8" t="s">
        <v>41</v>
      </c>
      <c r="M48" s="8" t="s">
        <v>41</v>
      </c>
      <c r="N48" s="8" t="s">
        <v>41</v>
      </c>
      <c r="O48" s="8" t="s">
        <v>41</v>
      </c>
      <c r="P48" s="8" t="s">
        <v>42</v>
      </c>
    </row>
    <row r="49" spans="1:16" x14ac:dyDescent="0.2">
      <c r="A49" s="7">
        <v>2</v>
      </c>
      <c r="B49" s="7">
        <v>48</v>
      </c>
      <c r="C49" s="7" t="s">
        <v>43</v>
      </c>
      <c r="D49">
        <v>28.1</v>
      </c>
      <c r="E49" t="s">
        <v>44</v>
      </c>
      <c r="F49" s="7" t="s">
        <v>45</v>
      </c>
      <c r="G49" s="8">
        <v>4</v>
      </c>
      <c r="H49" s="8" t="s">
        <v>41</v>
      </c>
      <c r="I49" s="8" t="s">
        <v>42</v>
      </c>
      <c r="J49" s="8" t="s">
        <v>42</v>
      </c>
      <c r="K49" s="8" t="s">
        <v>41</v>
      </c>
      <c r="L49" s="8" t="s">
        <v>41</v>
      </c>
      <c r="M49" s="8" t="s">
        <v>42</v>
      </c>
      <c r="N49" s="8" t="s">
        <v>42</v>
      </c>
      <c r="O49" s="8" t="s">
        <v>41</v>
      </c>
      <c r="P49" s="8" t="s">
        <v>42</v>
      </c>
    </row>
    <row r="50" spans="1:16" x14ac:dyDescent="0.2">
      <c r="A50" s="7">
        <v>3</v>
      </c>
      <c r="B50" s="7">
        <v>69</v>
      </c>
      <c r="C50" s="7" t="s">
        <v>38</v>
      </c>
      <c r="D50">
        <v>27.8</v>
      </c>
      <c r="E50" s="7" t="s">
        <v>44</v>
      </c>
      <c r="F50" s="7" t="s">
        <v>46</v>
      </c>
      <c r="G50" s="8">
        <v>6</v>
      </c>
      <c r="H50" s="8" t="s">
        <v>41</v>
      </c>
      <c r="I50" s="8" t="s">
        <v>41</v>
      </c>
      <c r="J50" s="8" t="s">
        <v>41</v>
      </c>
      <c r="K50" s="8" t="s">
        <v>41</v>
      </c>
      <c r="L50" s="8" t="s">
        <v>42</v>
      </c>
      <c r="M50" s="8" t="s">
        <v>42</v>
      </c>
      <c r="N50" s="8" t="s">
        <v>41</v>
      </c>
      <c r="O50" s="8" t="s">
        <v>41</v>
      </c>
      <c r="P50" s="8" t="s">
        <v>42</v>
      </c>
    </row>
    <row r="51" spans="1:16" x14ac:dyDescent="0.2">
      <c r="A51" s="7">
        <v>4</v>
      </c>
      <c r="B51" s="7">
        <v>46</v>
      </c>
      <c r="C51" s="7" t="s">
        <v>43</v>
      </c>
      <c r="D51">
        <v>28.9</v>
      </c>
      <c r="E51" s="7" t="s">
        <v>44</v>
      </c>
      <c r="F51" s="7" t="s">
        <v>49</v>
      </c>
      <c r="G51" s="9">
        <v>7</v>
      </c>
      <c r="H51" s="8" t="s">
        <v>41</v>
      </c>
      <c r="I51" s="8" t="s">
        <v>41</v>
      </c>
      <c r="J51" s="8" t="s">
        <v>41</v>
      </c>
      <c r="K51" s="8" t="s">
        <v>41</v>
      </c>
      <c r="L51" s="8" t="s">
        <v>42</v>
      </c>
      <c r="M51" s="8" t="s">
        <v>41</v>
      </c>
      <c r="N51" s="8" t="s">
        <v>41</v>
      </c>
      <c r="O51" s="8" t="s">
        <v>41</v>
      </c>
      <c r="P51" s="8" t="s">
        <v>42</v>
      </c>
    </row>
    <row r="52" spans="1:16" x14ac:dyDescent="0.2">
      <c r="A52" s="7">
        <v>5</v>
      </c>
      <c r="B52" s="7">
        <v>39</v>
      </c>
      <c r="C52" s="7" t="s">
        <v>43</v>
      </c>
      <c r="D52">
        <v>24.4</v>
      </c>
      <c r="E52" t="s">
        <v>47</v>
      </c>
      <c r="F52" s="7" t="s">
        <v>49</v>
      </c>
      <c r="G52" s="9">
        <v>8</v>
      </c>
      <c r="H52" s="8" t="s">
        <v>41</v>
      </c>
      <c r="I52" s="8" t="s">
        <v>41</v>
      </c>
      <c r="J52" s="8" t="s">
        <v>41</v>
      </c>
      <c r="K52" s="8" t="s">
        <v>41</v>
      </c>
      <c r="L52" s="8" t="s">
        <v>42</v>
      </c>
      <c r="M52" s="8" t="s">
        <v>41</v>
      </c>
      <c r="N52" s="8" t="s">
        <v>41</v>
      </c>
      <c r="O52" s="8" t="s">
        <v>41</v>
      </c>
      <c r="P52" s="8" t="s">
        <v>41</v>
      </c>
    </row>
    <row r="53" spans="1:16" x14ac:dyDescent="0.2">
      <c r="A53" s="7">
        <v>6</v>
      </c>
      <c r="B53" s="7">
        <v>38</v>
      </c>
      <c r="C53" s="7" t="s">
        <v>38</v>
      </c>
      <c r="D53">
        <v>32.9</v>
      </c>
      <c r="E53" t="s">
        <v>39</v>
      </c>
      <c r="F53" s="7" t="s">
        <v>48</v>
      </c>
      <c r="G53" s="9">
        <v>4</v>
      </c>
      <c r="H53" s="8" t="s">
        <v>41</v>
      </c>
      <c r="I53" s="8" t="s">
        <v>41</v>
      </c>
      <c r="J53" s="8" t="s">
        <v>41</v>
      </c>
      <c r="K53" s="8" t="s">
        <v>42</v>
      </c>
      <c r="L53" s="8" t="s">
        <v>42</v>
      </c>
      <c r="M53" s="8" t="s">
        <v>42</v>
      </c>
      <c r="N53" s="8" t="s">
        <v>42</v>
      </c>
      <c r="O53" s="8" t="s">
        <v>42</v>
      </c>
      <c r="P53" s="8" t="s">
        <v>41</v>
      </c>
    </row>
    <row r="54" spans="1:16" x14ac:dyDescent="0.2">
      <c r="A54" s="7"/>
      <c r="B54" s="7"/>
      <c r="C54" s="7"/>
      <c r="F54" s="7"/>
      <c r="G54" s="9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">
      <c r="A55" s="2" t="s">
        <v>245</v>
      </c>
    </row>
    <row r="56" spans="1:16" x14ac:dyDescent="0.2">
      <c r="A56" t="s">
        <v>50</v>
      </c>
      <c r="B56">
        <v>2854</v>
      </c>
    </row>
    <row r="57" spans="1:16" x14ac:dyDescent="0.2">
      <c r="A57" t="s">
        <v>51</v>
      </c>
      <c r="B57">
        <v>16497</v>
      </c>
    </row>
    <row r="58" spans="1:16" x14ac:dyDescent="0.2">
      <c r="A58" t="s">
        <v>52</v>
      </c>
      <c r="B58">
        <v>14731</v>
      </c>
    </row>
    <row r="59" spans="1:16" x14ac:dyDescent="0.2">
      <c r="A59" t="s">
        <v>53</v>
      </c>
      <c r="B59">
        <v>7336</v>
      </c>
    </row>
    <row r="60" spans="1:16" x14ac:dyDescent="0.2">
      <c r="A60" t="s">
        <v>54</v>
      </c>
      <c r="B60">
        <v>18937</v>
      </c>
    </row>
    <row r="61" spans="1:16" x14ac:dyDescent="0.2">
      <c r="A61" t="s">
        <v>55</v>
      </c>
      <c r="B61">
        <f>13717+2125</f>
        <v>15842</v>
      </c>
    </row>
    <row r="62" spans="1:16" x14ac:dyDescent="0.2">
      <c r="A62" t="s">
        <v>56</v>
      </c>
      <c r="B62">
        <v>16581</v>
      </c>
    </row>
    <row r="63" spans="1:16" x14ac:dyDescent="0.2">
      <c r="A63" t="s">
        <v>57</v>
      </c>
      <c r="B63">
        <v>7948</v>
      </c>
    </row>
    <row r="64" spans="1:16" x14ac:dyDescent="0.2">
      <c r="A64" t="s">
        <v>58</v>
      </c>
      <c r="B64">
        <v>12578</v>
      </c>
    </row>
    <row r="65" spans="1:17" x14ac:dyDescent="0.2">
      <c r="A65" s="2" t="s">
        <v>59</v>
      </c>
      <c r="B65" s="10">
        <f>SUM(B56:B64)</f>
        <v>113304</v>
      </c>
    </row>
    <row r="66" spans="1:17" x14ac:dyDescent="0.2">
      <c r="A66" s="2"/>
      <c r="B66" s="10"/>
    </row>
    <row r="67" spans="1:17" s="28" customFormat="1" ht="22" x14ac:dyDescent="0.3">
      <c r="A67" s="26" t="s">
        <v>314</v>
      </c>
      <c r="B67" s="27"/>
    </row>
    <row r="68" spans="1:17" ht="22" x14ac:dyDescent="0.3">
      <c r="A68" s="1"/>
      <c r="B68" s="10"/>
    </row>
    <row r="69" spans="1:17" ht="32" x14ac:dyDescent="0.2">
      <c r="A69" s="33" t="s">
        <v>63</v>
      </c>
      <c r="B69" s="34" t="s">
        <v>10</v>
      </c>
      <c r="C69" s="34" t="s">
        <v>23</v>
      </c>
      <c r="D69" s="34" t="s">
        <v>261</v>
      </c>
      <c r="E69" s="34" t="s">
        <v>262</v>
      </c>
      <c r="F69" s="34" t="s">
        <v>263</v>
      </c>
      <c r="G69" s="34" t="s">
        <v>264</v>
      </c>
      <c r="H69" s="34" t="s">
        <v>265</v>
      </c>
      <c r="I69" s="34" t="s">
        <v>266</v>
      </c>
      <c r="J69" s="34" t="s">
        <v>267</v>
      </c>
      <c r="K69" s="34" t="s">
        <v>268</v>
      </c>
      <c r="L69" s="34" t="s">
        <v>269</v>
      </c>
      <c r="M69" s="34" t="s">
        <v>270</v>
      </c>
      <c r="N69" s="34" t="s">
        <v>271</v>
      </c>
      <c r="O69" s="34" t="s">
        <v>272</v>
      </c>
      <c r="P69" s="35" t="s">
        <v>273</v>
      </c>
      <c r="Q69" s="36"/>
    </row>
    <row r="70" spans="1:17" x14ac:dyDescent="0.2">
      <c r="A70" s="20" t="s">
        <v>274</v>
      </c>
      <c r="B70" s="21" t="s">
        <v>11</v>
      </c>
      <c r="C70" s="21" t="s">
        <v>70</v>
      </c>
      <c r="D70" s="21" t="s">
        <v>275</v>
      </c>
      <c r="E70" s="21" t="s">
        <v>276</v>
      </c>
      <c r="F70" s="21" t="s">
        <v>71</v>
      </c>
      <c r="G70" s="21" t="s">
        <v>277</v>
      </c>
      <c r="H70" s="21" t="s">
        <v>70</v>
      </c>
      <c r="I70" s="21" t="s">
        <v>278</v>
      </c>
      <c r="J70" s="21" t="s">
        <v>279</v>
      </c>
      <c r="K70" s="21" t="s">
        <v>280</v>
      </c>
      <c r="L70" s="21" t="s">
        <v>281</v>
      </c>
      <c r="M70" s="21" t="s">
        <v>281</v>
      </c>
      <c r="N70" s="21" t="s">
        <v>281</v>
      </c>
      <c r="O70" s="21" t="s">
        <v>281</v>
      </c>
      <c r="P70" s="22" t="s">
        <v>282</v>
      </c>
      <c r="Q70" s="19"/>
    </row>
    <row r="71" spans="1:17" x14ac:dyDescent="0.2">
      <c r="A71" s="20" t="s">
        <v>283</v>
      </c>
      <c r="B71" s="21" t="s">
        <v>12</v>
      </c>
      <c r="C71" s="21" t="s">
        <v>85</v>
      </c>
      <c r="D71" s="21" t="s">
        <v>275</v>
      </c>
      <c r="E71" s="21" t="s">
        <v>284</v>
      </c>
      <c r="F71" s="21" t="s">
        <v>86</v>
      </c>
      <c r="G71" s="21" t="s">
        <v>285</v>
      </c>
      <c r="H71" s="21" t="s">
        <v>278</v>
      </c>
      <c r="I71" s="21" t="s">
        <v>286</v>
      </c>
      <c r="J71" s="21" t="s">
        <v>287</v>
      </c>
      <c r="K71" s="21" t="s">
        <v>281</v>
      </c>
      <c r="L71" s="21" t="s">
        <v>281</v>
      </c>
      <c r="M71" s="21" t="s">
        <v>281</v>
      </c>
      <c r="N71" s="21" t="s">
        <v>281</v>
      </c>
      <c r="O71" s="21" t="s">
        <v>281</v>
      </c>
      <c r="P71" s="22" t="s">
        <v>282</v>
      </c>
      <c r="Q71" s="19"/>
    </row>
    <row r="72" spans="1:17" x14ac:dyDescent="0.2">
      <c r="A72" s="20" t="s">
        <v>288</v>
      </c>
      <c r="B72" s="21" t="s">
        <v>12</v>
      </c>
      <c r="C72" s="21" t="s">
        <v>75</v>
      </c>
      <c r="D72" s="21" t="s">
        <v>275</v>
      </c>
      <c r="E72" s="21" t="s">
        <v>276</v>
      </c>
      <c r="F72" s="21" t="s">
        <v>71</v>
      </c>
      <c r="G72" s="21" t="s">
        <v>289</v>
      </c>
      <c r="H72" s="21" t="s">
        <v>105</v>
      </c>
      <c r="I72" s="21" t="s">
        <v>286</v>
      </c>
      <c r="J72" s="21" t="s">
        <v>287</v>
      </c>
      <c r="K72" s="21" t="s">
        <v>281</v>
      </c>
      <c r="L72" s="21" t="s">
        <v>281</v>
      </c>
      <c r="M72" s="21" t="s">
        <v>281</v>
      </c>
      <c r="N72" s="21" t="s">
        <v>281</v>
      </c>
      <c r="O72" s="21" t="s">
        <v>281</v>
      </c>
      <c r="P72" s="21" t="s">
        <v>290</v>
      </c>
      <c r="Q72" s="19"/>
    </row>
    <row r="73" spans="1:17" x14ac:dyDescent="0.2">
      <c r="A73" s="20" t="s">
        <v>291</v>
      </c>
      <c r="B73" s="21" t="s">
        <v>11</v>
      </c>
      <c r="C73" s="21" t="s">
        <v>105</v>
      </c>
      <c r="D73" s="21" t="s">
        <v>275</v>
      </c>
      <c r="E73" s="21" t="s">
        <v>276</v>
      </c>
      <c r="F73" s="21" t="s">
        <v>86</v>
      </c>
      <c r="G73" s="21" t="s">
        <v>292</v>
      </c>
      <c r="H73" s="21" t="s">
        <v>105</v>
      </c>
      <c r="I73" s="21" t="s">
        <v>286</v>
      </c>
      <c r="J73" s="21" t="s">
        <v>287</v>
      </c>
      <c r="K73" s="21" t="s">
        <v>280</v>
      </c>
      <c r="L73" s="21" t="s">
        <v>280</v>
      </c>
      <c r="M73" s="21" t="s">
        <v>281</v>
      </c>
      <c r="N73" s="21" t="s">
        <v>281</v>
      </c>
      <c r="O73" s="21" t="s">
        <v>281</v>
      </c>
      <c r="P73" s="21" t="s">
        <v>290</v>
      </c>
      <c r="Q73" s="19"/>
    </row>
    <row r="74" spans="1:17" x14ac:dyDescent="0.2">
      <c r="A74" s="20" t="s">
        <v>293</v>
      </c>
      <c r="B74" s="21" t="s">
        <v>11</v>
      </c>
      <c r="C74" s="21" t="s">
        <v>112</v>
      </c>
      <c r="D74" s="21" t="s">
        <v>275</v>
      </c>
      <c r="E74" s="21" t="s">
        <v>276</v>
      </c>
      <c r="F74" s="21" t="s">
        <v>86</v>
      </c>
      <c r="G74" s="21" t="s">
        <v>294</v>
      </c>
      <c r="H74" s="21" t="s">
        <v>278</v>
      </c>
      <c r="I74" s="21" t="s">
        <v>295</v>
      </c>
      <c r="J74" s="21" t="s">
        <v>296</v>
      </c>
      <c r="K74" s="21" t="s">
        <v>281</v>
      </c>
      <c r="L74" s="21" t="s">
        <v>281</v>
      </c>
      <c r="M74" s="21" t="s">
        <v>281</v>
      </c>
      <c r="N74" s="21" t="s">
        <v>281</v>
      </c>
      <c r="O74" s="21" t="s">
        <v>281</v>
      </c>
      <c r="P74" s="21" t="s">
        <v>290</v>
      </c>
      <c r="Q74" s="19"/>
    </row>
    <row r="75" spans="1:17" x14ac:dyDescent="0.2">
      <c r="A75" s="20" t="s">
        <v>297</v>
      </c>
      <c r="B75" s="21" t="s">
        <v>12</v>
      </c>
      <c r="C75" s="21" t="s">
        <v>105</v>
      </c>
      <c r="D75" s="21" t="s">
        <v>275</v>
      </c>
      <c r="E75" s="21" t="s">
        <v>276</v>
      </c>
      <c r="F75" s="21" t="s">
        <v>86</v>
      </c>
      <c r="G75" s="21" t="s">
        <v>298</v>
      </c>
      <c r="H75" s="21" t="s">
        <v>105</v>
      </c>
      <c r="I75" s="21" t="s">
        <v>299</v>
      </c>
      <c r="J75" s="21" t="s">
        <v>279</v>
      </c>
      <c r="K75" s="21" t="s">
        <v>281</v>
      </c>
      <c r="L75" s="21" t="s">
        <v>281</v>
      </c>
      <c r="M75" s="21" t="s">
        <v>281</v>
      </c>
      <c r="N75" s="21" t="s">
        <v>281</v>
      </c>
      <c r="O75" s="21" t="s">
        <v>281</v>
      </c>
      <c r="P75" s="21" t="s">
        <v>290</v>
      </c>
      <c r="Q75" s="19"/>
    </row>
    <row r="76" spans="1:17" x14ac:dyDescent="0.2">
      <c r="A76" s="20" t="s">
        <v>300</v>
      </c>
      <c r="B76" s="21" t="s">
        <v>12</v>
      </c>
      <c r="C76" s="21" t="s">
        <v>85</v>
      </c>
      <c r="D76" s="21" t="s">
        <v>275</v>
      </c>
      <c r="E76" s="21" t="s">
        <v>276</v>
      </c>
      <c r="F76" s="21" t="s">
        <v>86</v>
      </c>
      <c r="G76" s="21" t="s">
        <v>301</v>
      </c>
      <c r="H76" s="21" t="s">
        <v>105</v>
      </c>
      <c r="I76" s="21" t="s">
        <v>302</v>
      </c>
      <c r="J76" s="21" t="s">
        <v>279</v>
      </c>
      <c r="K76" s="21" t="s">
        <v>281</v>
      </c>
      <c r="L76" s="21" t="s">
        <v>281</v>
      </c>
      <c r="M76" s="21" t="s">
        <v>281</v>
      </c>
      <c r="N76" s="21" t="s">
        <v>281</v>
      </c>
      <c r="O76" s="21" t="s">
        <v>281</v>
      </c>
      <c r="P76" s="21" t="s">
        <v>290</v>
      </c>
      <c r="Q76" s="19"/>
    </row>
    <row r="77" spans="1:17" x14ac:dyDescent="0.2">
      <c r="A77" s="20" t="s">
        <v>303</v>
      </c>
      <c r="B77" s="21" t="s">
        <v>11</v>
      </c>
      <c r="C77" s="21" t="s">
        <v>85</v>
      </c>
      <c r="D77" s="21" t="s">
        <v>275</v>
      </c>
      <c r="E77" s="21" t="s">
        <v>304</v>
      </c>
      <c r="F77" s="21" t="s">
        <v>86</v>
      </c>
      <c r="G77" s="21" t="s">
        <v>292</v>
      </c>
      <c r="H77" s="21" t="s">
        <v>112</v>
      </c>
      <c r="I77" s="21" t="s">
        <v>286</v>
      </c>
      <c r="J77" s="21" t="s">
        <v>287</v>
      </c>
      <c r="K77" s="23" t="s">
        <v>281</v>
      </c>
      <c r="L77" s="23" t="s">
        <v>281</v>
      </c>
      <c r="M77" s="21" t="s">
        <v>281</v>
      </c>
      <c r="N77" s="21" t="s">
        <v>281</v>
      </c>
      <c r="O77" s="21" t="s">
        <v>281</v>
      </c>
      <c r="P77" s="21" t="s">
        <v>290</v>
      </c>
      <c r="Q77" s="19"/>
    </row>
    <row r="78" spans="1:17" x14ac:dyDescent="0.2">
      <c r="A78" s="20" t="s">
        <v>220</v>
      </c>
      <c r="B78" s="21" t="s">
        <v>12</v>
      </c>
      <c r="C78" s="21" t="s">
        <v>70</v>
      </c>
      <c r="D78" s="21" t="s">
        <v>275</v>
      </c>
      <c r="E78" s="21" t="s">
        <v>305</v>
      </c>
      <c r="F78" s="21" t="s">
        <v>71</v>
      </c>
      <c r="G78" s="21" t="s">
        <v>298</v>
      </c>
      <c r="H78" s="21" t="s">
        <v>105</v>
      </c>
      <c r="I78" s="21" t="s">
        <v>290</v>
      </c>
      <c r="J78" s="21" t="s">
        <v>279</v>
      </c>
      <c r="K78" s="21" t="s">
        <v>281</v>
      </c>
      <c r="L78" s="21" t="s">
        <v>281</v>
      </c>
      <c r="M78" s="21" t="s">
        <v>281</v>
      </c>
      <c r="N78" s="21" t="s">
        <v>281</v>
      </c>
      <c r="O78" s="21" t="s">
        <v>281</v>
      </c>
      <c r="P78" s="21" t="s">
        <v>306</v>
      </c>
      <c r="Q78" s="19"/>
    </row>
    <row r="79" spans="1:17" x14ac:dyDescent="0.2">
      <c r="A79" s="20" t="s">
        <v>213</v>
      </c>
      <c r="B79" s="21" t="s">
        <v>12</v>
      </c>
      <c r="C79" s="21" t="s">
        <v>70</v>
      </c>
      <c r="D79" s="23" t="s">
        <v>307</v>
      </c>
      <c r="E79" s="21" t="s">
        <v>308</v>
      </c>
      <c r="F79" s="21" t="s">
        <v>71</v>
      </c>
      <c r="G79" s="21" t="s">
        <v>285</v>
      </c>
      <c r="H79" s="21" t="s">
        <v>105</v>
      </c>
      <c r="I79" s="21" t="s">
        <v>286</v>
      </c>
      <c r="J79" s="21" t="s">
        <v>287</v>
      </c>
      <c r="K79" s="21" t="s">
        <v>281</v>
      </c>
      <c r="L79" s="21" t="s">
        <v>281</v>
      </c>
      <c r="M79" s="21" t="s">
        <v>281</v>
      </c>
      <c r="N79" s="21" t="s">
        <v>281</v>
      </c>
      <c r="O79" s="21" t="s">
        <v>281</v>
      </c>
      <c r="P79" s="21" t="s">
        <v>309</v>
      </c>
      <c r="Q79" s="19"/>
    </row>
    <row r="80" spans="1:17" x14ac:dyDescent="0.2">
      <c r="A80" s="20" t="s">
        <v>235</v>
      </c>
      <c r="B80" s="21" t="s">
        <v>12</v>
      </c>
      <c r="C80" s="21" t="s">
        <v>75</v>
      </c>
      <c r="D80" s="21" t="s">
        <v>275</v>
      </c>
      <c r="E80" s="21" t="s">
        <v>305</v>
      </c>
      <c r="F80" s="21" t="s">
        <v>71</v>
      </c>
      <c r="G80" s="21" t="s">
        <v>298</v>
      </c>
      <c r="H80" s="21" t="s">
        <v>310</v>
      </c>
      <c r="I80" s="21" t="s">
        <v>290</v>
      </c>
      <c r="J80" s="21" t="s">
        <v>287</v>
      </c>
      <c r="K80" s="21" t="s">
        <v>281</v>
      </c>
      <c r="L80" s="21" t="s">
        <v>281</v>
      </c>
      <c r="M80" s="21" t="s">
        <v>281</v>
      </c>
      <c r="N80" s="21" t="s">
        <v>281</v>
      </c>
      <c r="O80" s="21" t="s">
        <v>281</v>
      </c>
      <c r="P80" s="22">
        <v>0.6</v>
      </c>
      <c r="Q80" s="19"/>
    </row>
    <row r="81" spans="1:17" x14ac:dyDescent="0.2">
      <c r="A81" s="20" t="s">
        <v>198</v>
      </c>
      <c r="B81" s="21" t="s">
        <v>11</v>
      </c>
      <c r="C81" s="21" t="s">
        <v>70</v>
      </c>
      <c r="D81" s="21" t="s">
        <v>275</v>
      </c>
      <c r="E81" s="23" t="s">
        <v>284</v>
      </c>
      <c r="F81" s="21" t="s">
        <v>71</v>
      </c>
      <c r="G81" s="21" t="s">
        <v>285</v>
      </c>
      <c r="H81" s="21" t="s">
        <v>105</v>
      </c>
      <c r="I81" s="21" t="s">
        <v>286</v>
      </c>
      <c r="J81" s="21" t="s">
        <v>279</v>
      </c>
      <c r="K81" s="21" t="s">
        <v>281</v>
      </c>
      <c r="L81" s="21" t="s">
        <v>281</v>
      </c>
      <c r="M81" s="21" t="s">
        <v>281</v>
      </c>
      <c r="N81" s="21" t="s">
        <v>311</v>
      </c>
      <c r="O81" s="21" t="s">
        <v>281</v>
      </c>
      <c r="P81" s="21" t="s">
        <v>312</v>
      </c>
      <c r="Q81" s="19"/>
    </row>
    <row r="82" spans="1:17" x14ac:dyDescent="0.2">
      <c r="A82" s="20" t="s">
        <v>205</v>
      </c>
      <c r="B82" s="21" t="s">
        <v>11</v>
      </c>
      <c r="C82" s="21" t="s">
        <v>206</v>
      </c>
      <c r="D82" s="21" t="s">
        <v>275</v>
      </c>
      <c r="E82" s="21" t="s">
        <v>308</v>
      </c>
      <c r="F82" s="21" t="s">
        <v>71</v>
      </c>
      <c r="G82" s="21" t="s">
        <v>285</v>
      </c>
      <c r="H82" s="21" t="s">
        <v>105</v>
      </c>
      <c r="I82" s="21" t="s">
        <v>295</v>
      </c>
      <c r="J82" s="21" t="s">
        <v>279</v>
      </c>
      <c r="K82" s="21" t="s">
        <v>281</v>
      </c>
      <c r="L82" s="21" t="s">
        <v>281</v>
      </c>
      <c r="M82" s="21" t="s">
        <v>281</v>
      </c>
      <c r="N82" s="21" t="s">
        <v>281</v>
      </c>
      <c r="O82" s="21" t="s">
        <v>281</v>
      </c>
      <c r="P82" s="21" t="s">
        <v>313</v>
      </c>
      <c r="Q82" s="19"/>
    </row>
    <row r="83" spans="1:17" x14ac:dyDescent="0.2">
      <c r="A83" s="20" t="s">
        <v>227</v>
      </c>
      <c r="B83" s="21" t="s">
        <v>11</v>
      </c>
      <c r="C83" s="21" t="s">
        <v>228</v>
      </c>
      <c r="D83" s="21" t="s">
        <v>275</v>
      </c>
      <c r="E83" s="21" t="s">
        <v>276</v>
      </c>
      <c r="F83" s="21" t="s">
        <v>71</v>
      </c>
      <c r="G83" s="21" t="s">
        <v>285</v>
      </c>
      <c r="H83" s="21" t="s">
        <v>310</v>
      </c>
      <c r="I83" s="21" t="s">
        <v>290</v>
      </c>
      <c r="J83" s="21" t="s">
        <v>287</v>
      </c>
      <c r="K83" s="21" t="s">
        <v>281</v>
      </c>
      <c r="L83" s="21" t="s">
        <v>281</v>
      </c>
      <c r="M83" s="21" t="s">
        <v>281</v>
      </c>
      <c r="N83" s="21" t="s">
        <v>281</v>
      </c>
      <c r="O83" s="21" t="s">
        <v>281</v>
      </c>
      <c r="P83" s="21" t="s">
        <v>282</v>
      </c>
      <c r="Q83" s="19"/>
    </row>
    <row r="84" spans="1:17" ht="22" x14ac:dyDescent="0.3">
      <c r="A84" s="24"/>
      <c r="B84" s="25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</row>
    <row r="85" spans="1:17" x14ac:dyDescent="0.2">
      <c r="A85" s="2" t="s">
        <v>245</v>
      </c>
    </row>
    <row r="86" spans="1:17" s="2" customFormat="1" x14ac:dyDescent="0.2">
      <c r="A86" s="2" t="s">
        <v>256</v>
      </c>
      <c r="B86" s="2" t="s">
        <v>60</v>
      </c>
      <c r="C86" s="2" t="s">
        <v>61</v>
      </c>
      <c r="D86" s="2" t="s">
        <v>62</v>
      </c>
      <c r="E86" s="2" t="s">
        <v>63</v>
      </c>
      <c r="F86" s="2" t="s">
        <v>64</v>
      </c>
      <c r="G86" s="2" t="s">
        <v>24</v>
      </c>
      <c r="H86" s="2" t="s">
        <v>23</v>
      </c>
      <c r="I86" s="2" t="s">
        <v>65</v>
      </c>
      <c r="J86" s="2" t="s">
        <v>66</v>
      </c>
    </row>
    <row r="87" spans="1:17" x14ac:dyDescent="0.2">
      <c r="A87">
        <v>1</v>
      </c>
      <c r="B87" t="s">
        <v>67</v>
      </c>
      <c r="C87" t="s">
        <v>68</v>
      </c>
      <c r="D87">
        <v>10000</v>
      </c>
      <c r="E87">
        <v>1</v>
      </c>
      <c r="F87" t="s">
        <v>69</v>
      </c>
      <c r="G87" t="s">
        <v>11</v>
      </c>
      <c r="H87" t="s">
        <v>70</v>
      </c>
      <c r="I87" t="s">
        <v>71</v>
      </c>
      <c r="J87" t="s">
        <v>72</v>
      </c>
      <c r="K87" t="s">
        <v>243</v>
      </c>
    </row>
    <row r="88" spans="1:17" x14ac:dyDescent="0.2">
      <c r="A88">
        <v>2</v>
      </c>
      <c r="B88" t="s">
        <v>73</v>
      </c>
      <c r="C88" t="s">
        <v>68</v>
      </c>
      <c r="D88">
        <v>5000</v>
      </c>
      <c r="E88">
        <v>3</v>
      </c>
      <c r="F88" t="s">
        <v>74</v>
      </c>
      <c r="G88" t="s">
        <v>12</v>
      </c>
      <c r="H88" t="s">
        <v>75</v>
      </c>
      <c r="I88" t="s">
        <v>71</v>
      </c>
      <c r="J88" t="s">
        <v>72</v>
      </c>
      <c r="K88" t="s">
        <v>244</v>
      </c>
    </row>
    <row r="89" spans="1:17" x14ac:dyDescent="0.2">
      <c r="A89">
        <v>3</v>
      </c>
      <c r="B89" t="s">
        <v>76</v>
      </c>
      <c r="C89" t="s">
        <v>68</v>
      </c>
      <c r="D89">
        <v>5000</v>
      </c>
      <c r="E89">
        <v>3</v>
      </c>
      <c r="F89" t="s">
        <v>77</v>
      </c>
      <c r="G89" t="s">
        <v>12</v>
      </c>
      <c r="H89" t="s">
        <v>75</v>
      </c>
      <c r="I89" t="s">
        <v>71</v>
      </c>
      <c r="J89" t="s">
        <v>72</v>
      </c>
    </row>
    <row r="90" spans="1:17" x14ac:dyDescent="0.2">
      <c r="A90">
        <v>4</v>
      </c>
      <c r="B90" t="s">
        <v>78</v>
      </c>
      <c r="C90" t="s">
        <v>68</v>
      </c>
      <c r="D90">
        <v>5000</v>
      </c>
      <c r="E90">
        <v>3</v>
      </c>
      <c r="F90" t="s">
        <v>79</v>
      </c>
      <c r="G90" t="s">
        <v>12</v>
      </c>
      <c r="H90" t="s">
        <v>75</v>
      </c>
      <c r="I90" t="s">
        <v>71</v>
      </c>
      <c r="J90" t="s">
        <v>72</v>
      </c>
      <c r="K90" s="16"/>
      <c r="L90" s="17"/>
    </row>
    <row r="91" spans="1:17" x14ac:dyDescent="0.2">
      <c r="A91">
        <v>5</v>
      </c>
      <c r="B91" t="s">
        <v>80</v>
      </c>
      <c r="C91" t="s">
        <v>68</v>
      </c>
      <c r="D91">
        <v>5000</v>
      </c>
      <c r="E91">
        <v>3</v>
      </c>
      <c r="F91" t="s">
        <v>81</v>
      </c>
      <c r="G91" t="s">
        <v>12</v>
      </c>
      <c r="H91" t="s">
        <v>75</v>
      </c>
      <c r="I91" t="s">
        <v>71</v>
      </c>
      <c r="J91" t="s">
        <v>72</v>
      </c>
      <c r="K91" s="18"/>
      <c r="L91" s="18"/>
    </row>
    <row r="92" spans="1:17" x14ac:dyDescent="0.2">
      <c r="A92">
        <v>6</v>
      </c>
      <c r="B92" t="s">
        <v>82</v>
      </c>
      <c r="C92" t="s">
        <v>68</v>
      </c>
      <c r="D92">
        <v>5000</v>
      </c>
      <c r="E92">
        <v>3</v>
      </c>
      <c r="F92" t="s">
        <v>69</v>
      </c>
      <c r="G92" t="s">
        <v>12</v>
      </c>
      <c r="H92" t="s">
        <v>75</v>
      </c>
      <c r="I92" t="s">
        <v>71</v>
      </c>
      <c r="J92" t="s">
        <v>72</v>
      </c>
      <c r="K92" s="18"/>
      <c r="L92" s="18"/>
    </row>
    <row r="93" spans="1:17" x14ac:dyDescent="0.2">
      <c r="A93">
        <v>7</v>
      </c>
      <c r="B93" t="s">
        <v>83</v>
      </c>
      <c r="C93" t="s">
        <v>84</v>
      </c>
      <c r="D93">
        <v>5000</v>
      </c>
      <c r="E93">
        <v>2</v>
      </c>
      <c r="F93" t="s">
        <v>81</v>
      </c>
      <c r="G93" t="s">
        <v>12</v>
      </c>
      <c r="H93" t="s">
        <v>85</v>
      </c>
      <c r="I93" t="s">
        <v>86</v>
      </c>
      <c r="J93" t="s">
        <v>72</v>
      </c>
      <c r="K93" s="17"/>
      <c r="L93" s="17"/>
    </row>
    <row r="94" spans="1:17" x14ac:dyDescent="0.2">
      <c r="A94">
        <v>8</v>
      </c>
      <c r="B94" t="s">
        <v>87</v>
      </c>
      <c r="C94" t="s">
        <v>84</v>
      </c>
      <c r="D94">
        <v>5000</v>
      </c>
      <c r="E94">
        <v>1</v>
      </c>
      <c r="F94" t="s">
        <v>74</v>
      </c>
      <c r="G94" t="s">
        <v>11</v>
      </c>
      <c r="H94" t="s">
        <v>70</v>
      </c>
      <c r="I94" t="s">
        <v>71</v>
      </c>
      <c r="J94" t="s">
        <v>72</v>
      </c>
      <c r="K94" s="18"/>
      <c r="L94" s="18"/>
    </row>
    <row r="95" spans="1:17" x14ac:dyDescent="0.2">
      <c r="A95">
        <v>9</v>
      </c>
      <c r="B95" t="s">
        <v>88</v>
      </c>
      <c r="C95" t="s">
        <v>84</v>
      </c>
      <c r="D95">
        <v>5000</v>
      </c>
      <c r="E95">
        <v>2</v>
      </c>
      <c r="F95" t="s">
        <v>74</v>
      </c>
      <c r="G95" t="s">
        <v>12</v>
      </c>
      <c r="H95" t="s">
        <v>85</v>
      </c>
      <c r="I95" t="s">
        <v>86</v>
      </c>
      <c r="J95" t="s">
        <v>72</v>
      </c>
      <c r="K95" s="18"/>
      <c r="L95" s="18"/>
    </row>
    <row r="96" spans="1:17" x14ac:dyDescent="0.2">
      <c r="A96">
        <v>10</v>
      </c>
      <c r="B96" t="s">
        <v>89</v>
      </c>
      <c r="C96" t="s">
        <v>84</v>
      </c>
      <c r="D96">
        <v>5000</v>
      </c>
      <c r="E96">
        <v>3</v>
      </c>
      <c r="F96" t="s">
        <v>74</v>
      </c>
      <c r="G96" t="s">
        <v>12</v>
      </c>
      <c r="H96" t="s">
        <v>75</v>
      </c>
      <c r="I96" t="s">
        <v>71</v>
      </c>
      <c r="J96" t="s">
        <v>72</v>
      </c>
      <c r="K96" s="18"/>
      <c r="L96" s="18"/>
    </row>
    <row r="97" spans="1:10" x14ac:dyDescent="0.2">
      <c r="A97">
        <v>11</v>
      </c>
      <c r="B97" t="s">
        <v>90</v>
      </c>
      <c r="C97" t="s">
        <v>84</v>
      </c>
      <c r="D97">
        <v>5000</v>
      </c>
      <c r="E97">
        <v>1</v>
      </c>
      <c r="F97" t="s">
        <v>74</v>
      </c>
      <c r="G97" t="s">
        <v>11</v>
      </c>
      <c r="H97" t="s">
        <v>70</v>
      </c>
      <c r="I97" t="s">
        <v>71</v>
      </c>
      <c r="J97" t="s">
        <v>72</v>
      </c>
    </row>
    <row r="98" spans="1:10" x14ac:dyDescent="0.2">
      <c r="A98">
        <v>12</v>
      </c>
      <c r="B98" t="s">
        <v>91</v>
      </c>
      <c r="C98" t="s">
        <v>84</v>
      </c>
      <c r="D98">
        <v>5000</v>
      </c>
      <c r="E98">
        <v>1</v>
      </c>
      <c r="F98" t="s">
        <v>77</v>
      </c>
      <c r="G98" t="s">
        <v>11</v>
      </c>
      <c r="H98" t="s">
        <v>70</v>
      </c>
      <c r="I98" t="s">
        <v>71</v>
      </c>
      <c r="J98" t="s">
        <v>72</v>
      </c>
    </row>
    <row r="99" spans="1:10" x14ac:dyDescent="0.2">
      <c r="A99">
        <v>13</v>
      </c>
      <c r="B99" t="s">
        <v>92</v>
      </c>
      <c r="C99" t="s">
        <v>84</v>
      </c>
      <c r="D99">
        <v>5000</v>
      </c>
      <c r="E99">
        <v>1</v>
      </c>
      <c r="F99" t="s">
        <v>79</v>
      </c>
      <c r="G99" t="s">
        <v>11</v>
      </c>
      <c r="H99" t="s">
        <v>70</v>
      </c>
      <c r="I99" t="s">
        <v>71</v>
      </c>
      <c r="J99" t="s">
        <v>72</v>
      </c>
    </row>
    <row r="100" spans="1:10" x14ac:dyDescent="0.2">
      <c r="A100">
        <v>14</v>
      </c>
      <c r="B100" t="s">
        <v>93</v>
      </c>
      <c r="C100" t="s">
        <v>84</v>
      </c>
      <c r="D100">
        <v>5000</v>
      </c>
      <c r="E100">
        <v>2</v>
      </c>
      <c r="F100" t="s">
        <v>74</v>
      </c>
      <c r="G100" t="s">
        <v>12</v>
      </c>
      <c r="H100" t="s">
        <v>85</v>
      </c>
      <c r="I100" t="s">
        <v>86</v>
      </c>
      <c r="J100" t="s">
        <v>72</v>
      </c>
    </row>
    <row r="101" spans="1:10" x14ac:dyDescent="0.2">
      <c r="A101">
        <v>15</v>
      </c>
      <c r="B101" t="s">
        <v>94</v>
      </c>
      <c r="C101" t="s">
        <v>84</v>
      </c>
      <c r="D101">
        <v>5000</v>
      </c>
      <c r="E101">
        <v>2</v>
      </c>
      <c r="F101" t="s">
        <v>77</v>
      </c>
      <c r="G101" t="s">
        <v>12</v>
      </c>
      <c r="H101" t="s">
        <v>85</v>
      </c>
      <c r="I101" t="s">
        <v>86</v>
      </c>
      <c r="J101" t="s">
        <v>72</v>
      </c>
    </row>
    <row r="102" spans="1:10" x14ac:dyDescent="0.2">
      <c r="A102">
        <v>16</v>
      </c>
      <c r="B102" t="s">
        <v>95</v>
      </c>
      <c r="C102" t="s">
        <v>84</v>
      </c>
      <c r="D102">
        <v>5000</v>
      </c>
      <c r="E102">
        <v>2</v>
      </c>
      <c r="F102" t="s">
        <v>77</v>
      </c>
      <c r="G102" t="s">
        <v>12</v>
      </c>
      <c r="H102" t="s">
        <v>85</v>
      </c>
      <c r="I102" t="s">
        <v>86</v>
      </c>
      <c r="J102" t="s">
        <v>72</v>
      </c>
    </row>
    <row r="103" spans="1:10" x14ac:dyDescent="0.2">
      <c r="A103">
        <v>17</v>
      </c>
      <c r="B103" t="s">
        <v>96</v>
      </c>
      <c r="C103" t="s">
        <v>84</v>
      </c>
      <c r="D103">
        <v>5000</v>
      </c>
      <c r="E103">
        <v>2</v>
      </c>
      <c r="F103" t="s">
        <v>79</v>
      </c>
      <c r="G103" t="s">
        <v>12</v>
      </c>
      <c r="H103" t="s">
        <v>85</v>
      </c>
      <c r="I103" t="s">
        <v>86</v>
      </c>
      <c r="J103" t="s">
        <v>72</v>
      </c>
    </row>
    <row r="104" spans="1:10" x14ac:dyDescent="0.2">
      <c r="A104">
        <v>18</v>
      </c>
      <c r="B104" t="s">
        <v>97</v>
      </c>
      <c r="C104" t="s">
        <v>84</v>
      </c>
      <c r="D104">
        <v>5000</v>
      </c>
      <c r="E104">
        <v>2</v>
      </c>
      <c r="F104" t="s">
        <v>79</v>
      </c>
      <c r="G104" t="s">
        <v>12</v>
      </c>
      <c r="H104" t="s">
        <v>85</v>
      </c>
      <c r="I104" t="s">
        <v>86</v>
      </c>
      <c r="J104" t="s">
        <v>72</v>
      </c>
    </row>
    <row r="105" spans="1:10" x14ac:dyDescent="0.2">
      <c r="A105">
        <v>19</v>
      </c>
      <c r="B105" t="s">
        <v>98</v>
      </c>
      <c r="C105" t="s">
        <v>84</v>
      </c>
      <c r="D105">
        <v>5000</v>
      </c>
      <c r="E105">
        <v>2</v>
      </c>
      <c r="F105" t="s">
        <v>99</v>
      </c>
      <c r="G105" t="s">
        <v>12</v>
      </c>
      <c r="H105" t="s">
        <v>85</v>
      </c>
      <c r="I105" t="s">
        <v>86</v>
      </c>
      <c r="J105" t="s">
        <v>72</v>
      </c>
    </row>
    <row r="106" spans="1:10" x14ac:dyDescent="0.2">
      <c r="A106">
        <v>20</v>
      </c>
      <c r="B106" t="s">
        <v>100</v>
      </c>
      <c r="C106" t="s">
        <v>84</v>
      </c>
      <c r="D106">
        <v>5000</v>
      </c>
      <c r="E106">
        <v>2</v>
      </c>
      <c r="F106" t="s">
        <v>99</v>
      </c>
      <c r="G106" t="s">
        <v>12</v>
      </c>
      <c r="H106" t="s">
        <v>85</v>
      </c>
      <c r="I106" t="s">
        <v>86</v>
      </c>
      <c r="J106" t="s">
        <v>72</v>
      </c>
    </row>
    <row r="107" spans="1:10" x14ac:dyDescent="0.2">
      <c r="A107">
        <v>21</v>
      </c>
      <c r="B107" t="s">
        <v>101</v>
      </c>
      <c r="C107" t="s">
        <v>84</v>
      </c>
      <c r="D107">
        <v>5000</v>
      </c>
      <c r="E107">
        <v>2</v>
      </c>
      <c r="F107" t="s">
        <v>81</v>
      </c>
      <c r="G107" t="s">
        <v>12</v>
      </c>
      <c r="H107" t="s">
        <v>85</v>
      </c>
      <c r="I107" t="s">
        <v>86</v>
      </c>
      <c r="J107" t="s">
        <v>72</v>
      </c>
    </row>
    <row r="108" spans="1:10" x14ac:dyDescent="0.2">
      <c r="A108">
        <v>22</v>
      </c>
      <c r="B108" t="s">
        <v>102</v>
      </c>
      <c r="C108" t="s">
        <v>84</v>
      </c>
      <c r="D108">
        <v>5000</v>
      </c>
      <c r="E108">
        <v>2</v>
      </c>
      <c r="F108" t="s">
        <v>69</v>
      </c>
      <c r="G108" t="s">
        <v>12</v>
      </c>
      <c r="H108" t="s">
        <v>85</v>
      </c>
      <c r="I108" t="s">
        <v>86</v>
      </c>
      <c r="J108" t="s">
        <v>72</v>
      </c>
    </row>
    <row r="109" spans="1:10" x14ac:dyDescent="0.2">
      <c r="A109">
        <v>23</v>
      </c>
      <c r="B109" t="s">
        <v>103</v>
      </c>
      <c r="C109" t="s">
        <v>84</v>
      </c>
      <c r="D109">
        <v>5000</v>
      </c>
      <c r="E109">
        <v>2</v>
      </c>
      <c r="F109" t="s">
        <v>69</v>
      </c>
      <c r="G109" t="s">
        <v>12</v>
      </c>
      <c r="H109" t="s">
        <v>85</v>
      </c>
      <c r="I109" t="s">
        <v>86</v>
      </c>
      <c r="J109" t="s">
        <v>72</v>
      </c>
    </row>
    <row r="110" spans="1:10" x14ac:dyDescent="0.2">
      <c r="A110">
        <v>24</v>
      </c>
      <c r="B110" t="s">
        <v>104</v>
      </c>
      <c r="C110" t="s">
        <v>68</v>
      </c>
      <c r="D110">
        <v>5000</v>
      </c>
      <c r="E110">
        <v>4</v>
      </c>
      <c r="F110" t="s">
        <v>74</v>
      </c>
      <c r="G110" t="s">
        <v>11</v>
      </c>
      <c r="H110" t="s">
        <v>105</v>
      </c>
      <c r="I110" t="s">
        <v>86</v>
      </c>
      <c r="J110" t="s">
        <v>72</v>
      </c>
    </row>
    <row r="111" spans="1:10" x14ac:dyDescent="0.2">
      <c r="A111">
        <v>25</v>
      </c>
      <c r="B111" t="s">
        <v>106</v>
      </c>
      <c r="C111" t="s">
        <v>68</v>
      </c>
      <c r="D111">
        <v>5000</v>
      </c>
      <c r="E111">
        <v>4</v>
      </c>
      <c r="F111" t="s">
        <v>77</v>
      </c>
      <c r="G111" t="s">
        <v>11</v>
      </c>
      <c r="H111" t="s">
        <v>105</v>
      </c>
      <c r="I111" t="s">
        <v>86</v>
      </c>
      <c r="J111" t="s">
        <v>72</v>
      </c>
    </row>
    <row r="112" spans="1:10" x14ac:dyDescent="0.2">
      <c r="A112">
        <v>26</v>
      </c>
      <c r="B112" t="s">
        <v>107</v>
      </c>
      <c r="C112" t="s">
        <v>68</v>
      </c>
      <c r="D112">
        <v>5000</v>
      </c>
      <c r="E112">
        <v>4</v>
      </c>
      <c r="F112" t="s">
        <v>79</v>
      </c>
      <c r="G112" t="s">
        <v>11</v>
      </c>
      <c r="H112" t="s">
        <v>105</v>
      </c>
      <c r="I112" t="s">
        <v>86</v>
      </c>
      <c r="J112" t="s">
        <v>72</v>
      </c>
    </row>
    <row r="113" spans="1:10" x14ac:dyDescent="0.2">
      <c r="A113">
        <v>27</v>
      </c>
      <c r="B113" t="s">
        <v>108</v>
      </c>
      <c r="C113" t="s">
        <v>68</v>
      </c>
      <c r="D113">
        <v>5000</v>
      </c>
      <c r="E113">
        <v>4</v>
      </c>
      <c r="F113" t="s">
        <v>99</v>
      </c>
      <c r="G113" t="s">
        <v>11</v>
      </c>
      <c r="H113" t="s">
        <v>105</v>
      </c>
      <c r="I113" t="s">
        <v>86</v>
      </c>
      <c r="J113" t="s">
        <v>72</v>
      </c>
    </row>
    <row r="114" spans="1:10" x14ac:dyDescent="0.2">
      <c r="A114">
        <v>28</v>
      </c>
      <c r="B114" t="s">
        <v>109</v>
      </c>
      <c r="C114" t="s">
        <v>68</v>
      </c>
      <c r="D114">
        <v>5000</v>
      </c>
      <c r="E114">
        <v>4</v>
      </c>
      <c r="F114" t="s">
        <v>81</v>
      </c>
      <c r="G114" t="s">
        <v>11</v>
      </c>
      <c r="H114" t="s">
        <v>105</v>
      </c>
      <c r="I114" t="s">
        <v>86</v>
      </c>
      <c r="J114" t="s">
        <v>72</v>
      </c>
    </row>
    <row r="115" spans="1:10" x14ac:dyDescent="0.2">
      <c r="A115">
        <v>29</v>
      </c>
      <c r="B115" t="s">
        <v>110</v>
      </c>
      <c r="C115" t="s">
        <v>68</v>
      </c>
      <c r="D115">
        <v>5000</v>
      </c>
      <c r="E115">
        <v>4</v>
      </c>
      <c r="F115" t="s">
        <v>69</v>
      </c>
      <c r="G115" t="s">
        <v>11</v>
      </c>
      <c r="H115" t="s">
        <v>105</v>
      </c>
      <c r="I115" t="s">
        <v>86</v>
      </c>
      <c r="J115" t="s">
        <v>72</v>
      </c>
    </row>
    <row r="116" spans="1:10" x14ac:dyDescent="0.2">
      <c r="A116">
        <v>30</v>
      </c>
      <c r="B116" t="s">
        <v>111</v>
      </c>
      <c r="C116" t="s">
        <v>68</v>
      </c>
      <c r="D116">
        <v>5000</v>
      </c>
      <c r="E116">
        <v>5</v>
      </c>
      <c r="F116" t="s">
        <v>74</v>
      </c>
      <c r="G116" t="s">
        <v>11</v>
      </c>
      <c r="H116" t="s">
        <v>112</v>
      </c>
      <c r="I116" t="s">
        <v>86</v>
      </c>
      <c r="J116" t="s">
        <v>72</v>
      </c>
    </row>
    <row r="117" spans="1:10" x14ac:dyDescent="0.2">
      <c r="A117">
        <v>31</v>
      </c>
      <c r="B117" t="s">
        <v>113</v>
      </c>
      <c r="C117" t="s">
        <v>68</v>
      </c>
      <c r="D117">
        <v>5000</v>
      </c>
      <c r="E117">
        <v>5</v>
      </c>
      <c r="F117" t="s">
        <v>77</v>
      </c>
      <c r="G117" t="s">
        <v>11</v>
      </c>
      <c r="H117" t="s">
        <v>112</v>
      </c>
      <c r="I117" t="s">
        <v>86</v>
      </c>
      <c r="J117" t="s">
        <v>72</v>
      </c>
    </row>
    <row r="118" spans="1:10" x14ac:dyDescent="0.2">
      <c r="A118">
        <v>32</v>
      </c>
      <c r="B118" t="s">
        <v>114</v>
      </c>
      <c r="C118" t="s">
        <v>68</v>
      </c>
      <c r="D118">
        <v>5000</v>
      </c>
      <c r="E118">
        <v>5</v>
      </c>
      <c r="F118" t="s">
        <v>79</v>
      </c>
      <c r="G118" t="s">
        <v>11</v>
      </c>
      <c r="H118" t="s">
        <v>112</v>
      </c>
      <c r="I118" t="s">
        <v>86</v>
      </c>
      <c r="J118" t="s">
        <v>72</v>
      </c>
    </row>
    <row r="119" spans="1:10" x14ac:dyDescent="0.2">
      <c r="A119">
        <v>33</v>
      </c>
      <c r="B119" t="s">
        <v>115</v>
      </c>
      <c r="C119" t="s">
        <v>68</v>
      </c>
      <c r="D119">
        <v>5000</v>
      </c>
      <c r="E119">
        <v>5</v>
      </c>
      <c r="F119" t="s">
        <v>99</v>
      </c>
      <c r="G119" t="s">
        <v>11</v>
      </c>
      <c r="H119" t="s">
        <v>112</v>
      </c>
      <c r="I119" t="s">
        <v>86</v>
      </c>
      <c r="J119" t="s">
        <v>72</v>
      </c>
    </row>
    <row r="120" spans="1:10" x14ac:dyDescent="0.2">
      <c r="A120">
        <v>34</v>
      </c>
      <c r="B120" t="s">
        <v>116</v>
      </c>
      <c r="C120" t="s">
        <v>68</v>
      </c>
      <c r="D120">
        <v>5000</v>
      </c>
      <c r="E120">
        <v>5</v>
      </c>
      <c r="F120" t="s">
        <v>81</v>
      </c>
      <c r="G120" t="s">
        <v>11</v>
      </c>
      <c r="H120" t="s">
        <v>112</v>
      </c>
      <c r="I120" t="s">
        <v>86</v>
      </c>
      <c r="J120" t="s">
        <v>72</v>
      </c>
    </row>
    <row r="121" spans="1:10" x14ac:dyDescent="0.2">
      <c r="A121">
        <v>35</v>
      </c>
      <c r="B121" t="s">
        <v>117</v>
      </c>
      <c r="C121" t="s">
        <v>68</v>
      </c>
      <c r="D121">
        <v>5000</v>
      </c>
      <c r="E121">
        <v>5</v>
      </c>
      <c r="F121" t="s">
        <v>69</v>
      </c>
      <c r="G121" t="s">
        <v>11</v>
      </c>
      <c r="H121" t="s">
        <v>112</v>
      </c>
      <c r="I121" t="s">
        <v>86</v>
      </c>
      <c r="J121" t="s">
        <v>72</v>
      </c>
    </row>
    <row r="122" spans="1:10" x14ac:dyDescent="0.2">
      <c r="A122">
        <v>36</v>
      </c>
      <c r="B122" t="s">
        <v>118</v>
      </c>
      <c r="C122" t="s">
        <v>84</v>
      </c>
      <c r="D122">
        <v>5000</v>
      </c>
      <c r="E122">
        <v>3</v>
      </c>
      <c r="F122" t="s">
        <v>74</v>
      </c>
      <c r="G122" t="s">
        <v>12</v>
      </c>
      <c r="H122" t="s">
        <v>75</v>
      </c>
      <c r="I122" t="s">
        <v>71</v>
      </c>
      <c r="J122" t="s">
        <v>72</v>
      </c>
    </row>
    <row r="123" spans="1:10" x14ac:dyDescent="0.2">
      <c r="A123">
        <v>37</v>
      </c>
      <c r="B123" t="s">
        <v>119</v>
      </c>
      <c r="C123" t="s">
        <v>84</v>
      </c>
      <c r="D123">
        <v>5000</v>
      </c>
      <c r="E123">
        <v>3</v>
      </c>
      <c r="F123" t="s">
        <v>77</v>
      </c>
      <c r="G123" t="s">
        <v>12</v>
      </c>
      <c r="H123" t="s">
        <v>75</v>
      </c>
      <c r="I123" t="s">
        <v>71</v>
      </c>
      <c r="J123" t="s">
        <v>72</v>
      </c>
    </row>
    <row r="124" spans="1:10" x14ac:dyDescent="0.2">
      <c r="A124">
        <v>38</v>
      </c>
      <c r="B124" t="s">
        <v>120</v>
      </c>
      <c r="C124" t="s">
        <v>84</v>
      </c>
      <c r="D124">
        <v>5000</v>
      </c>
      <c r="E124">
        <v>3</v>
      </c>
      <c r="F124" t="s">
        <v>79</v>
      </c>
      <c r="G124" t="s">
        <v>12</v>
      </c>
      <c r="H124" t="s">
        <v>75</v>
      </c>
      <c r="I124" t="s">
        <v>71</v>
      </c>
      <c r="J124" t="s">
        <v>72</v>
      </c>
    </row>
    <row r="125" spans="1:10" x14ac:dyDescent="0.2">
      <c r="A125">
        <v>39</v>
      </c>
      <c r="B125" t="s">
        <v>121</v>
      </c>
      <c r="C125" t="s">
        <v>84</v>
      </c>
      <c r="D125">
        <v>5000</v>
      </c>
      <c r="E125">
        <v>3</v>
      </c>
      <c r="F125" t="s">
        <v>81</v>
      </c>
      <c r="G125" t="s">
        <v>12</v>
      </c>
      <c r="H125" t="s">
        <v>75</v>
      </c>
      <c r="I125" t="s">
        <v>71</v>
      </c>
      <c r="J125" t="s">
        <v>72</v>
      </c>
    </row>
    <row r="126" spans="1:10" x14ac:dyDescent="0.2">
      <c r="A126">
        <v>40</v>
      </c>
      <c r="B126" t="s">
        <v>122</v>
      </c>
      <c r="C126" t="s">
        <v>84</v>
      </c>
      <c r="D126">
        <v>5000</v>
      </c>
      <c r="E126">
        <v>3</v>
      </c>
      <c r="F126" t="s">
        <v>99</v>
      </c>
      <c r="G126" t="s">
        <v>12</v>
      </c>
      <c r="H126" t="s">
        <v>75</v>
      </c>
      <c r="I126" t="s">
        <v>71</v>
      </c>
      <c r="J126" t="s">
        <v>72</v>
      </c>
    </row>
    <row r="127" spans="1:10" x14ac:dyDescent="0.2">
      <c r="A127">
        <v>41</v>
      </c>
      <c r="B127" t="s">
        <v>123</v>
      </c>
      <c r="C127" t="s">
        <v>84</v>
      </c>
      <c r="D127">
        <v>5000</v>
      </c>
      <c r="E127">
        <v>3</v>
      </c>
      <c r="F127" t="s">
        <v>69</v>
      </c>
      <c r="G127" t="s">
        <v>12</v>
      </c>
      <c r="H127" t="s">
        <v>75</v>
      </c>
      <c r="I127" t="s">
        <v>71</v>
      </c>
      <c r="J127" t="s">
        <v>72</v>
      </c>
    </row>
    <row r="128" spans="1:10" x14ac:dyDescent="0.2">
      <c r="A128">
        <v>42</v>
      </c>
      <c r="B128" t="s">
        <v>124</v>
      </c>
      <c r="C128" t="s">
        <v>84</v>
      </c>
      <c r="D128">
        <v>5000</v>
      </c>
      <c r="E128">
        <v>4</v>
      </c>
      <c r="F128" t="s">
        <v>74</v>
      </c>
      <c r="G128" t="s">
        <v>11</v>
      </c>
      <c r="H128" t="s">
        <v>105</v>
      </c>
      <c r="I128" t="s">
        <v>86</v>
      </c>
      <c r="J128" t="s">
        <v>72</v>
      </c>
    </row>
    <row r="129" spans="1:10" x14ac:dyDescent="0.2">
      <c r="A129">
        <v>43</v>
      </c>
      <c r="B129" t="s">
        <v>125</v>
      </c>
      <c r="C129" t="s">
        <v>84</v>
      </c>
      <c r="D129">
        <v>5000</v>
      </c>
      <c r="E129">
        <v>4</v>
      </c>
      <c r="F129" t="s">
        <v>77</v>
      </c>
      <c r="G129" t="s">
        <v>11</v>
      </c>
      <c r="H129" t="s">
        <v>105</v>
      </c>
      <c r="I129" t="s">
        <v>86</v>
      </c>
      <c r="J129" t="s">
        <v>72</v>
      </c>
    </row>
    <row r="130" spans="1:10" x14ac:dyDescent="0.2">
      <c r="A130">
        <v>44</v>
      </c>
      <c r="B130" t="s">
        <v>126</v>
      </c>
      <c r="C130" t="s">
        <v>84</v>
      </c>
      <c r="D130">
        <v>5000</v>
      </c>
      <c r="E130">
        <v>4</v>
      </c>
      <c r="F130" t="s">
        <v>79</v>
      </c>
      <c r="G130" t="s">
        <v>11</v>
      </c>
      <c r="H130" t="s">
        <v>105</v>
      </c>
      <c r="I130" t="s">
        <v>86</v>
      </c>
      <c r="J130" t="s">
        <v>72</v>
      </c>
    </row>
    <row r="131" spans="1:10" x14ac:dyDescent="0.2">
      <c r="A131">
        <v>45</v>
      </c>
      <c r="B131" t="s">
        <v>127</v>
      </c>
      <c r="C131" t="s">
        <v>84</v>
      </c>
      <c r="D131">
        <v>5000</v>
      </c>
      <c r="E131">
        <v>4</v>
      </c>
      <c r="F131" t="s">
        <v>99</v>
      </c>
      <c r="G131" t="s">
        <v>11</v>
      </c>
      <c r="H131" t="s">
        <v>105</v>
      </c>
      <c r="I131" t="s">
        <v>86</v>
      </c>
      <c r="J131" t="s">
        <v>72</v>
      </c>
    </row>
    <row r="132" spans="1:10" x14ac:dyDescent="0.2">
      <c r="A132">
        <v>46</v>
      </c>
      <c r="B132" t="s">
        <v>128</v>
      </c>
      <c r="C132" t="s">
        <v>84</v>
      </c>
      <c r="D132">
        <v>5000</v>
      </c>
      <c r="E132">
        <v>4</v>
      </c>
      <c r="F132" t="s">
        <v>81</v>
      </c>
      <c r="G132" t="s">
        <v>11</v>
      </c>
      <c r="H132" t="s">
        <v>105</v>
      </c>
      <c r="I132" t="s">
        <v>86</v>
      </c>
      <c r="J132" t="s">
        <v>72</v>
      </c>
    </row>
    <row r="133" spans="1:10" x14ac:dyDescent="0.2">
      <c r="A133">
        <v>47</v>
      </c>
      <c r="B133" t="s">
        <v>129</v>
      </c>
      <c r="C133" t="s">
        <v>84</v>
      </c>
      <c r="D133">
        <v>5000</v>
      </c>
      <c r="E133">
        <v>4</v>
      </c>
      <c r="F133" t="s">
        <v>69</v>
      </c>
      <c r="G133" t="s">
        <v>11</v>
      </c>
      <c r="H133" t="s">
        <v>105</v>
      </c>
      <c r="I133" t="s">
        <v>86</v>
      </c>
      <c r="J133" t="s">
        <v>72</v>
      </c>
    </row>
    <row r="134" spans="1:10" x14ac:dyDescent="0.2">
      <c r="A134">
        <v>48</v>
      </c>
      <c r="B134" t="s">
        <v>130</v>
      </c>
      <c r="C134" t="s">
        <v>84</v>
      </c>
      <c r="D134">
        <v>5000</v>
      </c>
      <c r="E134">
        <v>5</v>
      </c>
      <c r="F134" t="s">
        <v>74</v>
      </c>
      <c r="G134" t="s">
        <v>11</v>
      </c>
      <c r="H134" t="s">
        <v>112</v>
      </c>
      <c r="I134" t="s">
        <v>86</v>
      </c>
      <c r="J134" t="s">
        <v>72</v>
      </c>
    </row>
    <row r="135" spans="1:10" x14ac:dyDescent="0.2">
      <c r="A135">
        <v>49</v>
      </c>
      <c r="B135" t="s">
        <v>131</v>
      </c>
      <c r="C135" t="s">
        <v>84</v>
      </c>
      <c r="D135">
        <v>5000</v>
      </c>
      <c r="E135">
        <v>5</v>
      </c>
      <c r="F135" t="s">
        <v>77</v>
      </c>
      <c r="G135" t="s">
        <v>11</v>
      </c>
      <c r="H135" t="s">
        <v>112</v>
      </c>
      <c r="I135" t="s">
        <v>86</v>
      </c>
      <c r="J135" t="s">
        <v>72</v>
      </c>
    </row>
    <row r="136" spans="1:10" x14ac:dyDescent="0.2">
      <c r="A136">
        <v>50</v>
      </c>
      <c r="B136" t="s">
        <v>132</v>
      </c>
      <c r="C136" t="s">
        <v>84</v>
      </c>
      <c r="D136">
        <v>5000</v>
      </c>
      <c r="E136">
        <v>5</v>
      </c>
      <c r="F136" t="s">
        <v>79</v>
      </c>
      <c r="G136" t="s">
        <v>11</v>
      </c>
      <c r="H136" t="s">
        <v>112</v>
      </c>
      <c r="I136" t="s">
        <v>86</v>
      </c>
      <c r="J136" t="s">
        <v>72</v>
      </c>
    </row>
    <row r="137" spans="1:10" x14ac:dyDescent="0.2">
      <c r="A137">
        <v>51</v>
      </c>
      <c r="B137" t="s">
        <v>133</v>
      </c>
      <c r="C137" t="s">
        <v>84</v>
      </c>
      <c r="D137">
        <v>5000</v>
      </c>
      <c r="E137">
        <v>5</v>
      </c>
      <c r="F137" t="s">
        <v>99</v>
      </c>
      <c r="G137" t="s">
        <v>11</v>
      </c>
      <c r="H137" t="s">
        <v>112</v>
      </c>
      <c r="I137" t="s">
        <v>86</v>
      </c>
      <c r="J137" t="s">
        <v>72</v>
      </c>
    </row>
    <row r="138" spans="1:10" x14ac:dyDescent="0.2">
      <c r="A138">
        <v>52</v>
      </c>
      <c r="B138" t="s">
        <v>134</v>
      </c>
      <c r="C138" t="s">
        <v>84</v>
      </c>
      <c r="D138">
        <v>5000</v>
      </c>
      <c r="E138">
        <v>5</v>
      </c>
      <c r="F138" t="s">
        <v>81</v>
      </c>
      <c r="G138" t="s">
        <v>11</v>
      </c>
      <c r="H138" t="s">
        <v>112</v>
      </c>
      <c r="I138" t="s">
        <v>86</v>
      </c>
      <c r="J138" t="s">
        <v>72</v>
      </c>
    </row>
    <row r="139" spans="1:10" x14ac:dyDescent="0.2">
      <c r="A139">
        <v>53</v>
      </c>
      <c r="B139" t="s">
        <v>135</v>
      </c>
      <c r="C139" t="s">
        <v>84</v>
      </c>
      <c r="D139">
        <v>5000</v>
      </c>
      <c r="E139">
        <v>5</v>
      </c>
      <c r="F139" t="s">
        <v>69</v>
      </c>
      <c r="G139" t="s">
        <v>11</v>
      </c>
      <c r="H139" t="s">
        <v>112</v>
      </c>
      <c r="I139" t="s">
        <v>86</v>
      </c>
      <c r="J139" t="s">
        <v>72</v>
      </c>
    </row>
    <row r="140" spans="1:10" x14ac:dyDescent="0.2">
      <c r="A140">
        <v>54</v>
      </c>
      <c r="B140" t="s">
        <v>136</v>
      </c>
      <c r="C140" t="s">
        <v>137</v>
      </c>
      <c r="D140">
        <v>5000</v>
      </c>
      <c r="E140">
        <v>6</v>
      </c>
      <c r="F140" t="s">
        <v>74</v>
      </c>
      <c r="G140" t="s">
        <v>12</v>
      </c>
      <c r="H140" t="s">
        <v>112</v>
      </c>
      <c r="I140" t="s">
        <v>86</v>
      </c>
      <c r="J140" t="s">
        <v>72</v>
      </c>
    </row>
    <row r="141" spans="1:10" x14ac:dyDescent="0.2">
      <c r="A141">
        <v>55</v>
      </c>
      <c r="B141" t="s">
        <v>138</v>
      </c>
      <c r="C141" t="s">
        <v>137</v>
      </c>
      <c r="D141">
        <v>5000</v>
      </c>
      <c r="E141">
        <v>6</v>
      </c>
      <c r="F141" t="s">
        <v>77</v>
      </c>
      <c r="G141" t="s">
        <v>12</v>
      </c>
      <c r="H141" t="s">
        <v>112</v>
      </c>
      <c r="I141" t="s">
        <v>86</v>
      </c>
      <c r="J141" t="s">
        <v>72</v>
      </c>
    </row>
    <row r="142" spans="1:10" x14ac:dyDescent="0.2">
      <c r="A142">
        <v>56</v>
      </c>
      <c r="B142" t="s">
        <v>139</v>
      </c>
      <c r="C142" t="s">
        <v>137</v>
      </c>
      <c r="D142">
        <v>5000</v>
      </c>
      <c r="E142">
        <v>6</v>
      </c>
      <c r="F142" t="s">
        <v>79</v>
      </c>
      <c r="G142" t="s">
        <v>12</v>
      </c>
      <c r="H142" t="s">
        <v>112</v>
      </c>
      <c r="I142" t="s">
        <v>86</v>
      </c>
      <c r="J142" t="s">
        <v>72</v>
      </c>
    </row>
    <row r="143" spans="1:10" x14ac:dyDescent="0.2">
      <c r="A143">
        <v>57</v>
      </c>
      <c r="B143" t="s">
        <v>140</v>
      </c>
      <c r="C143" t="s">
        <v>137</v>
      </c>
      <c r="D143">
        <v>5000</v>
      </c>
      <c r="E143">
        <v>6</v>
      </c>
      <c r="F143" t="s">
        <v>99</v>
      </c>
      <c r="G143" t="s">
        <v>12</v>
      </c>
      <c r="H143" t="s">
        <v>112</v>
      </c>
      <c r="I143" t="s">
        <v>86</v>
      </c>
      <c r="J143" t="s">
        <v>72</v>
      </c>
    </row>
    <row r="144" spans="1:10" x14ac:dyDescent="0.2">
      <c r="A144">
        <v>58</v>
      </c>
      <c r="B144" t="s">
        <v>141</v>
      </c>
      <c r="C144" t="s">
        <v>137</v>
      </c>
      <c r="D144">
        <v>5000</v>
      </c>
      <c r="E144">
        <v>6</v>
      </c>
      <c r="F144" t="s">
        <v>81</v>
      </c>
      <c r="G144" t="s">
        <v>12</v>
      </c>
      <c r="H144" t="s">
        <v>112</v>
      </c>
      <c r="I144" t="s">
        <v>86</v>
      </c>
      <c r="J144" t="s">
        <v>72</v>
      </c>
    </row>
    <row r="145" spans="1:10" x14ac:dyDescent="0.2">
      <c r="A145">
        <v>59</v>
      </c>
      <c r="B145" t="s">
        <v>142</v>
      </c>
      <c r="C145" t="s">
        <v>137</v>
      </c>
      <c r="D145">
        <v>5000</v>
      </c>
      <c r="E145">
        <v>6</v>
      </c>
      <c r="F145" t="s">
        <v>69</v>
      </c>
      <c r="G145" t="s">
        <v>12</v>
      </c>
      <c r="H145" t="s">
        <v>112</v>
      </c>
      <c r="I145" t="s">
        <v>86</v>
      </c>
      <c r="J145" t="s">
        <v>72</v>
      </c>
    </row>
    <row r="146" spans="1:10" x14ac:dyDescent="0.2">
      <c r="A146">
        <v>60</v>
      </c>
      <c r="B146" t="s">
        <v>143</v>
      </c>
      <c r="C146" t="s">
        <v>68</v>
      </c>
      <c r="D146">
        <v>5000</v>
      </c>
      <c r="E146">
        <v>7</v>
      </c>
      <c r="F146" t="s">
        <v>74</v>
      </c>
      <c r="G146" t="s">
        <v>12</v>
      </c>
      <c r="H146" t="s">
        <v>85</v>
      </c>
      <c r="I146" t="s">
        <v>86</v>
      </c>
      <c r="J146" t="s">
        <v>72</v>
      </c>
    </row>
    <row r="147" spans="1:10" x14ac:dyDescent="0.2">
      <c r="A147">
        <v>61</v>
      </c>
      <c r="B147" t="s">
        <v>144</v>
      </c>
      <c r="C147" t="s">
        <v>68</v>
      </c>
      <c r="D147">
        <v>5000</v>
      </c>
      <c r="E147">
        <v>7</v>
      </c>
      <c r="F147" t="s">
        <v>77</v>
      </c>
      <c r="G147" t="s">
        <v>12</v>
      </c>
      <c r="H147" t="s">
        <v>85</v>
      </c>
      <c r="I147" t="s">
        <v>86</v>
      </c>
      <c r="J147" t="s">
        <v>72</v>
      </c>
    </row>
    <row r="148" spans="1:10" x14ac:dyDescent="0.2">
      <c r="A148">
        <v>62</v>
      </c>
      <c r="B148" t="s">
        <v>145</v>
      </c>
      <c r="C148" t="s">
        <v>68</v>
      </c>
      <c r="D148">
        <v>5000</v>
      </c>
      <c r="E148">
        <v>7</v>
      </c>
      <c r="F148" t="s">
        <v>79</v>
      </c>
      <c r="G148" t="s">
        <v>12</v>
      </c>
      <c r="H148" t="s">
        <v>85</v>
      </c>
      <c r="I148" t="s">
        <v>86</v>
      </c>
      <c r="J148" t="s">
        <v>72</v>
      </c>
    </row>
    <row r="149" spans="1:10" x14ac:dyDescent="0.2">
      <c r="A149">
        <v>63</v>
      </c>
      <c r="B149" t="s">
        <v>146</v>
      </c>
      <c r="C149" t="s">
        <v>68</v>
      </c>
      <c r="D149">
        <v>5000</v>
      </c>
      <c r="E149">
        <v>7</v>
      </c>
      <c r="F149" t="s">
        <v>99</v>
      </c>
      <c r="G149" t="s">
        <v>12</v>
      </c>
      <c r="H149" t="s">
        <v>85</v>
      </c>
      <c r="I149" t="s">
        <v>86</v>
      </c>
      <c r="J149" t="s">
        <v>72</v>
      </c>
    </row>
    <row r="150" spans="1:10" x14ac:dyDescent="0.2">
      <c r="A150">
        <v>64</v>
      </c>
      <c r="B150" t="s">
        <v>147</v>
      </c>
      <c r="C150" t="s">
        <v>68</v>
      </c>
      <c r="D150">
        <v>5000</v>
      </c>
      <c r="E150">
        <v>7</v>
      </c>
      <c r="F150" t="s">
        <v>81</v>
      </c>
      <c r="G150" t="s">
        <v>12</v>
      </c>
      <c r="H150" t="s">
        <v>85</v>
      </c>
      <c r="I150" t="s">
        <v>86</v>
      </c>
      <c r="J150" t="s">
        <v>72</v>
      </c>
    </row>
    <row r="151" spans="1:10" x14ac:dyDescent="0.2">
      <c r="A151">
        <v>65</v>
      </c>
      <c r="B151" t="s">
        <v>148</v>
      </c>
      <c r="C151" t="s">
        <v>68</v>
      </c>
      <c r="D151">
        <v>5000</v>
      </c>
      <c r="E151">
        <v>7</v>
      </c>
      <c r="F151" t="s">
        <v>69</v>
      </c>
      <c r="G151" t="s">
        <v>12</v>
      </c>
      <c r="H151" t="s">
        <v>85</v>
      </c>
      <c r="I151" t="s">
        <v>86</v>
      </c>
      <c r="J151" t="s">
        <v>72</v>
      </c>
    </row>
    <row r="152" spans="1:10" x14ac:dyDescent="0.2">
      <c r="A152">
        <v>66</v>
      </c>
      <c r="B152" t="s">
        <v>149</v>
      </c>
      <c r="C152" t="s">
        <v>137</v>
      </c>
      <c r="D152">
        <v>5000</v>
      </c>
      <c r="E152">
        <v>7</v>
      </c>
      <c r="F152" t="s">
        <v>74</v>
      </c>
      <c r="G152" t="s">
        <v>12</v>
      </c>
      <c r="H152" t="s">
        <v>85</v>
      </c>
      <c r="I152" t="s">
        <v>86</v>
      </c>
      <c r="J152" t="s">
        <v>72</v>
      </c>
    </row>
    <row r="153" spans="1:10" x14ac:dyDescent="0.2">
      <c r="A153">
        <v>67</v>
      </c>
      <c r="B153" t="s">
        <v>150</v>
      </c>
      <c r="C153" t="s">
        <v>137</v>
      </c>
      <c r="D153">
        <v>5000</v>
      </c>
      <c r="E153">
        <v>7</v>
      </c>
      <c r="F153" t="s">
        <v>77</v>
      </c>
      <c r="G153" t="s">
        <v>12</v>
      </c>
      <c r="H153" t="s">
        <v>85</v>
      </c>
      <c r="I153" t="s">
        <v>86</v>
      </c>
      <c r="J153" t="s">
        <v>72</v>
      </c>
    </row>
    <row r="154" spans="1:10" x14ac:dyDescent="0.2">
      <c r="A154">
        <v>68</v>
      </c>
      <c r="B154" t="s">
        <v>151</v>
      </c>
      <c r="C154" t="s">
        <v>137</v>
      </c>
      <c r="D154">
        <v>5000</v>
      </c>
      <c r="E154">
        <v>7</v>
      </c>
      <c r="F154" t="s">
        <v>79</v>
      </c>
      <c r="G154" t="s">
        <v>12</v>
      </c>
      <c r="H154" t="s">
        <v>85</v>
      </c>
      <c r="I154" t="s">
        <v>86</v>
      </c>
      <c r="J154" t="s">
        <v>72</v>
      </c>
    </row>
    <row r="155" spans="1:10" x14ac:dyDescent="0.2">
      <c r="A155">
        <v>69</v>
      </c>
      <c r="B155" t="s">
        <v>152</v>
      </c>
      <c r="C155" t="s">
        <v>137</v>
      </c>
      <c r="D155">
        <v>5000</v>
      </c>
      <c r="E155">
        <v>7</v>
      </c>
      <c r="F155" t="s">
        <v>99</v>
      </c>
      <c r="G155" t="s">
        <v>12</v>
      </c>
      <c r="H155" t="s">
        <v>85</v>
      </c>
      <c r="I155" t="s">
        <v>86</v>
      </c>
      <c r="J155" t="s">
        <v>72</v>
      </c>
    </row>
    <row r="156" spans="1:10" x14ac:dyDescent="0.2">
      <c r="A156">
        <v>70</v>
      </c>
      <c r="B156" t="s">
        <v>153</v>
      </c>
      <c r="C156" t="s">
        <v>137</v>
      </c>
      <c r="D156">
        <v>5000</v>
      </c>
      <c r="E156">
        <v>7</v>
      </c>
      <c r="F156" t="s">
        <v>81</v>
      </c>
      <c r="G156" t="s">
        <v>12</v>
      </c>
      <c r="H156" t="s">
        <v>85</v>
      </c>
      <c r="I156" t="s">
        <v>86</v>
      </c>
      <c r="J156" t="s">
        <v>72</v>
      </c>
    </row>
    <row r="157" spans="1:10" x14ac:dyDescent="0.2">
      <c r="A157">
        <v>71</v>
      </c>
      <c r="B157" t="s">
        <v>154</v>
      </c>
      <c r="C157" t="s">
        <v>137</v>
      </c>
      <c r="D157">
        <v>5000</v>
      </c>
      <c r="E157">
        <v>7</v>
      </c>
      <c r="F157" t="s">
        <v>69</v>
      </c>
      <c r="G157" t="s">
        <v>12</v>
      </c>
      <c r="H157" t="s">
        <v>85</v>
      </c>
      <c r="I157" t="s">
        <v>86</v>
      </c>
      <c r="J157" t="s">
        <v>72</v>
      </c>
    </row>
    <row r="158" spans="1:10" x14ac:dyDescent="0.2">
      <c r="A158">
        <v>72</v>
      </c>
      <c r="B158" t="s">
        <v>155</v>
      </c>
      <c r="C158" t="s">
        <v>84</v>
      </c>
      <c r="D158">
        <v>5000</v>
      </c>
      <c r="E158">
        <v>6</v>
      </c>
      <c r="F158" t="s">
        <v>74</v>
      </c>
      <c r="G158" t="s">
        <v>12</v>
      </c>
      <c r="H158" t="s">
        <v>112</v>
      </c>
      <c r="I158" t="s">
        <v>86</v>
      </c>
      <c r="J158" t="s">
        <v>72</v>
      </c>
    </row>
    <row r="159" spans="1:10" x14ac:dyDescent="0.2">
      <c r="A159">
        <v>73</v>
      </c>
      <c r="B159" t="s">
        <v>156</v>
      </c>
      <c r="C159" t="s">
        <v>84</v>
      </c>
      <c r="D159">
        <v>5000</v>
      </c>
      <c r="E159">
        <v>6</v>
      </c>
      <c r="F159" t="s">
        <v>77</v>
      </c>
      <c r="G159" t="s">
        <v>12</v>
      </c>
      <c r="H159" t="s">
        <v>112</v>
      </c>
      <c r="I159" t="s">
        <v>86</v>
      </c>
      <c r="J159" t="s">
        <v>72</v>
      </c>
    </row>
    <row r="160" spans="1:10" x14ac:dyDescent="0.2">
      <c r="A160">
        <v>74</v>
      </c>
      <c r="B160" t="s">
        <v>157</v>
      </c>
      <c r="C160" t="s">
        <v>84</v>
      </c>
      <c r="D160">
        <v>5000</v>
      </c>
      <c r="E160">
        <v>6</v>
      </c>
      <c r="F160" t="s">
        <v>79</v>
      </c>
      <c r="G160" t="s">
        <v>12</v>
      </c>
      <c r="H160" t="s">
        <v>112</v>
      </c>
      <c r="I160" t="s">
        <v>86</v>
      </c>
      <c r="J160" t="s">
        <v>72</v>
      </c>
    </row>
    <row r="161" spans="1:10" x14ac:dyDescent="0.2">
      <c r="A161">
        <v>75</v>
      </c>
      <c r="B161" t="s">
        <v>158</v>
      </c>
      <c r="C161" t="s">
        <v>84</v>
      </c>
      <c r="D161">
        <v>5000</v>
      </c>
      <c r="E161">
        <v>6</v>
      </c>
      <c r="F161" t="s">
        <v>99</v>
      </c>
      <c r="G161" t="s">
        <v>12</v>
      </c>
      <c r="H161" t="s">
        <v>112</v>
      </c>
      <c r="I161" t="s">
        <v>86</v>
      </c>
      <c r="J161" t="s">
        <v>72</v>
      </c>
    </row>
    <row r="162" spans="1:10" x14ac:dyDescent="0.2">
      <c r="A162">
        <v>76</v>
      </c>
      <c r="B162" t="s">
        <v>159</v>
      </c>
      <c r="C162" t="s">
        <v>84</v>
      </c>
      <c r="D162">
        <v>5000</v>
      </c>
      <c r="E162">
        <v>7</v>
      </c>
      <c r="F162" t="s">
        <v>74</v>
      </c>
      <c r="G162" t="s">
        <v>12</v>
      </c>
      <c r="H162" t="s">
        <v>85</v>
      </c>
      <c r="I162" t="s">
        <v>86</v>
      </c>
      <c r="J162" t="s">
        <v>72</v>
      </c>
    </row>
    <row r="163" spans="1:10" x14ac:dyDescent="0.2">
      <c r="A163">
        <v>77</v>
      </c>
      <c r="B163" t="s">
        <v>160</v>
      </c>
      <c r="C163" t="s">
        <v>84</v>
      </c>
      <c r="D163">
        <v>5000</v>
      </c>
      <c r="E163">
        <v>7</v>
      </c>
      <c r="F163" t="s">
        <v>99</v>
      </c>
      <c r="G163" t="s">
        <v>12</v>
      </c>
      <c r="H163" t="s">
        <v>85</v>
      </c>
      <c r="I163" t="s">
        <v>86</v>
      </c>
      <c r="J163" t="s">
        <v>72</v>
      </c>
    </row>
    <row r="164" spans="1:10" x14ac:dyDescent="0.2">
      <c r="A164">
        <v>78</v>
      </c>
      <c r="B164" t="s">
        <v>161</v>
      </c>
      <c r="C164" t="s">
        <v>84</v>
      </c>
      <c r="D164">
        <v>5000</v>
      </c>
      <c r="E164">
        <v>7</v>
      </c>
      <c r="F164" t="s">
        <v>81</v>
      </c>
      <c r="G164" t="s">
        <v>12</v>
      </c>
      <c r="H164" t="s">
        <v>85</v>
      </c>
      <c r="I164" t="s">
        <v>86</v>
      </c>
      <c r="J164" t="s">
        <v>72</v>
      </c>
    </row>
    <row r="165" spans="1:10" x14ac:dyDescent="0.2">
      <c r="A165">
        <v>79</v>
      </c>
      <c r="B165" t="s">
        <v>162</v>
      </c>
      <c r="C165" t="s">
        <v>84</v>
      </c>
      <c r="D165">
        <v>5000</v>
      </c>
      <c r="E165">
        <v>7</v>
      </c>
      <c r="F165" t="s">
        <v>69</v>
      </c>
      <c r="G165" t="s">
        <v>12</v>
      </c>
      <c r="H165" t="s">
        <v>85</v>
      </c>
      <c r="I165" t="s">
        <v>86</v>
      </c>
      <c r="J165" t="s">
        <v>72</v>
      </c>
    </row>
    <row r="166" spans="1:10" x14ac:dyDescent="0.2">
      <c r="A166">
        <v>80</v>
      </c>
      <c r="B166" t="s">
        <v>163</v>
      </c>
      <c r="C166" t="s">
        <v>84</v>
      </c>
      <c r="D166">
        <v>5000</v>
      </c>
      <c r="E166">
        <v>6</v>
      </c>
      <c r="F166" t="s">
        <v>81</v>
      </c>
      <c r="G166" t="s">
        <v>12</v>
      </c>
      <c r="H166" t="s">
        <v>112</v>
      </c>
      <c r="I166" t="s">
        <v>86</v>
      </c>
      <c r="J166" t="s">
        <v>72</v>
      </c>
    </row>
    <row r="167" spans="1:10" x14ac:dyDescent="0.2">
      <c r="A167">
        <v>81</v>
      </c>
      <c r="B167" t="s">
        <v>164</v>
      </c>
      <c r="C167" t="s">
        <v>84</v>
      </c>
      <c r="D167">
        <v>5000</v>
      </c>
      <c r="E167">
        <v>6</v>
      </c>
      <c r="F167" t="s">
        <v>69</v>
      </c>
      <c r="G167" t="s">
        <v>12</v>
      </c>
      <c r="H167" t="s">
        <v>112</v>
      </c>
      <c r="I167" t="s">
        <v>86</v>
      </c>
      <c r="J167" t="s">
        <v>72</v>
      </c>
    </row>
    <row r="168" spans="1:10" x14ac:dyDescent="0.2">
      <c r="A168">
        <v>82</v>
      </c>
      <c r="B168" t="s">
        <v>165</v>
      </c>
      <c r="C168" t="s">
        <v>84</v>
      </c>
      <c r="D168">
        <v>5000</v>
      </c>
      <c r="E168">
        <v>7</v>
      </c>
      <c r="F168" t="s">
        <v>77</v>
      </c>
      <c r="G168" t="s">
        <v>12</v>
      </c>
      <c r="H168" t="s">
        <v>85</v>
      </c>
      <c r="I168" t="s">
        <v>86</v>
      </c>
      <c r="J168" t="s">
        <v>72</v>
      </c>
    </row>
    <row r="169" spans="1:10" x14ac:dyDescent="0.2">
      <c r="A169">
        <v>83</v>
      </c>
      <c r="B169" t="s">
        <v>166</v>
      </c>
      <c r="C169" t="s">
        <v>84</v>
      </c>
      <c r="D169">
        <v>5000</v>
      </c>
      <c r="E169">
        <v>7</v>
      </c>
      <c r="F169" t="s">
        <v>79</v>
      </c>
      <c r="G169" t="s">
        <v>12</v>
      </c>
      <c r="H169" t="s">
        <v>85</v>
      </c>
      <c r="I169" t="s">
        <v>86</v>
      </c>
      <c r="J169" t="s">
        <v>72</v>
      </c>
    </row>
    <row r="170" spans="1:10" x14ac:dyDescent="0.2">
      <c r="A170">
        <v>84</v>
      </c>
      <c r="B170" t="s">
        <v>167</v>
      </c>
      <c r="C170" t="s">
        <v>68</v>
      </c>
      <c r="D170">
        <v>5000</v>
      </c>
      <c r="E170">
        <v>6</v>
      </c>
      <c r="F170" t="s">
        <v>74</v>
      </c>
      <c r="G170" t="s">
        <v>12</v>
      </c>
      <c r="H170" t="s">
        <v>112</v>
      </c>
      <c r="I170" t="s">
        <v>86</v>
      </c>
      <c r="J170" t="s">
        <v>168</v>
      </c>
    </row>
    <row r="171" spans="1:10" x14ac:dyDescent="0.2">
      <c r="A171">
        <v>85</v>
      </c>
      <c r="B171" t="s">
        <v>169</v>
      </c>
      <c r="C171" t="s">
        <v>68</v>
      </c>
      <c r="D171">
        <v>5000</v>
      </c>
      <c r="E171">
        <v>6</v>
      </c>
      <c r="F171" t="s">
        <v>77</v>
      </c>
      <c r="G171" t="s">
        <v>12</v>
      </c>
      <c r="H171" t="s">
        <v>112</v>
      </c>
      <c r="I171" t="s">
        <v>86</v>
      </c>
      <c r="J171" t="s">
        <v>168</v>
      </c>
    </row>
    <row r="172" spans="1:10" x14ac:dyDescent="0.2">
      <c r="A172">
        <v>86</v>
      </c>
      <c r="B172" t="s">
        <v>170</v>
      </c>
      <c r="C172" t="s">
        <v>68</v>
      </c>
      <c r="D172">
        <v>5000</v>
      </c>
      <c r="E172">
        <v>6</v>
      </c>
      <c r="F172" t="s">
        <v>79</v>
      </c>
      <c r="G172" t="s">
        <v>12</v>
      </c>
      <c r="H172" t="s">
        <v>112</v>
      </c>
      <c r="I172" t="s">
        <v>86</v>
      </c>
      <c r="J172" t="s">
        <v>168</v>
      </c>
    </row>
    <row r="173" spans="1:10" x14ac:dyDescent="0.2">
      <c r="A173">
        <v>87</v>
      </c>
      <c r="B173" t="s">
        <v>171</v>
      </c>
      <c r="C173" t="s">
        <v>68</v>
      </c>
      <c r="D173">
        <v>5000</v>
      </c>
      <c r="E173">
        <v>6</v>
      </c>
      <c r="F173" t="s">
        <v>99</v>
      </c>
      <c r="G173" t="s">
        <v>12</v>
      </c>
      <c r="H173" t="s">
        <v>112</v>
      </c>
      <c r="I173" t="s">
        <v>86</v>
      </c>
      <c r="J173" t="s">
        <v>168</v>
      </c>
    </row>
    <row r="174" spans="1:10" x14ac:dyDescent="0.2">
      <c r="A174">
        <v>88</v>
      </c>
      <c r="B174" t="s">
        <v>172</v>
      </c>
      <c r="C174" t="s">
        <v>68</v>
      </c>
      <c r="D174">
        <v>5000</v>
      </c>
      <c r="E174">
        <v>6</v>
      </c>
      <c r="F174" t="s">
        <v>81</v>
      </c>
      <c r="G174" t="s">
        <v>12</v>
      </c>
      <c r="H174" t="s">
        <v>112</v>
      </c>
      <c r="I174" t="s">
        <v>86</v>
      </c>
      <c r="J174" t="s">
        <v>168</v>
      </c>
    </row>
    <row r="175" spans="1:10" x14ac:dyDescent="0.2">
      <c r="A175">
        <v>89</v>
      </c>
      <c r="B175" t="s">
        <v>173</v>
      </c>
      <c r="C175" t="s">
        <v>68</v>
      </c>
      <c r="D175">
        <v>5000</v>
      </c>
      <c r="E175">
        <v>6</v>
      </c>
      <c r="F175" t="s">
        <v>69</v>
      </c>
      <c r="G175" t="s">
        <v>12</v>
      </c>
      <c r="H175" t="s">
        <v>112</v>
      </c>
      <c r="I175" t="s">
        <v>86</v>
      </c>
      <c r="J175" t="s">
        <v>168</v>
      </c>
    </row>
    <row r="176" spans="1:10" x14ac:dyDescent="0.2">
      <c r="A176">
        <v>90</v>
      </c>
      <c r="B176" t="s">
        <v>174</v>
      </c>
      <c r="C176" t="s">
        <v>84</v>
      </c>
      <c r="D176">
        <v>5000</v>
      </c>
      <c r="E176">
        <v>1</v>
      </c>
      <c r="F176" t="s">
        <v>69</v>
      </c>
      <c r="G176" t="s">
        <v>11</v>
      </c>
      <c r="H176" t="s">
        <v>70</v>
      </c>
      <c r="I176" t="s">
        <v>71</v>
      </c>
      <c r="J176" t="s">
        <v>72</v>
      </c>
    </row>
    <row r="177" spans="1:10" x14ac:dyDescent="0.2">
      <c r="A177">
        <v>91</v>
      </c>
      <c r="B177" t="s">
        <v>175</v>
      </c>
      <c r="C177" t="s">
        <v>84</v>
      </c>
      <c r="D177">
        <v>5000</v>
      </c>
      <c r="E177">
        <v>3</v>
      </c>
      <c r="F177" t="s">
        <v>74</v>
      </c>
      <c r="G177" t="s">
        <v>12</v>
      </c>
      <c r="H177" t="s">
        <v>75</v>
      </c>
      <c r="I177" t="s">
        <v>71</v>
      </c>
      <c r="J177" t="s">
        <v>72</v>
      </c>
    </row>
    <row r="178" spans="1:10" x14ac:dyDescent="0.2">
      <c r="A178">
        <v>92</v>
      </c>
      <c r="B178" t="s">
        <v>176</v>
      </c>
      <c r="C178" t="s">
        <v>84</v>
      </c>
      <c r="D178">
        <v>5000</v>
      </c>
      <c r="E178">
        <v>3</v>
      </c>
      <c r="F178" t="s">
        <v>77</v>
      </c>
      <c r="G178" t="s">
        <v>12</v>
      </c>
      <c r="H178" t="s">
        <v>75</v>
      </c>
      <c r="I178" t="s">
        <v>71</v>
      </c>
      <c r="J178" t="s">
        <v>72</v>
      </c>
    </row>
    <row r="179" spans="1:10" x14ac:dyDescent="0.2">
      <c r="A179">
        <v>93</v>
      </c>
      <c r="B179" t="s">
        <v>177</v>
      </c>
      <c r="C179" t="s">
        <v>84</v>
      </c>
      <c r="D179">
        <v>5000</v>
      </c>
      <c r="E179">
        <v>3</v>
      </c>
      <c r="F179" t="s">
        <v>79</v>
      </c>
      <c r="G179" t="s">
        <v>12</v>
      </c>
      <c r="H179" t="s">
        <v>75</v>
      </c>
      <c r="I179" t="s">
        <v>71</v>
      </c>
      <c r="J179" t="s">
        <v>72</v>
      </c>
    </row>
    <row r="180" spans="1:10" x14ac:dyDescent="0.2">
      <c r="A180">
        <v>94</v>
      </c>
      <c r="B180" t="s">
        <v>178</v>
      </c>
      <c r="C180" t="s">
        <v>84</v>
      </c>
      <c r="D180">
        <v>5000</v>
      </c>
      <c r="E180">
        <v>3</v>
      </c>
      <c r="F180" t="s">
        <v>99</v>
      </c>
      <c r="G180" t="s">
        <v>12</v>
      </c>
      <c r="H180" t="s">
        <v>75</v>
      </c>
      <c r="I180" t="s">
        <v>71</v>
      </c>
      <c r="J180" t="s">
        <v>72</v>
      </c>
    </row>
    <row r="181" spans="1:10" x14ac:dyDescent="0.2">
      <c r="A181">
        <v>95</v>
      </c>
      <c r="B181" t="s">
        <v>179</v>
      </c>
      <c r="C181" t="s">
        <v>137</v>
      </c>
      <c r="D181">
        <v>5000</v>
      </c>
      <c r="E181">
        <v>11</v>
      </c>
      <c r="F181" t="s">
        <v>99</v>
      </c>
      <c r="G181" t="s">
        <v>11</v>
      </c>
      <c r="H181" t="s">
        <v>85</v>
      </c>
      <c r="I181" t="s">
        <v>86</v>
      </c>
      <c r="J181" t="s">
        <v>168</v>
      </c>
    </row>
    <row r="182" spans="1:10" x14ac:dyDescent="0.2">
      <c r="A182">
        <v>96</v>
      </c>
      <c r="B182" t="s">
        <v>180</v>
      </c>
      <c r="C182" t="s">
        <v>137</v>
      </c>
      <c r="D182">
        <v>5000</v>
      </c>
      <c r="E182">
        <v>11</v>
      </c>
      <c r="F182" t="s">
        <v>79</v>
      </c>
      <c r="G182" t="s">
        <v>11</v>
      </c>
      <c r="H182" t="s">
        <v>85</v>
      </c>
      <c r="I182" t="s">
        <v>86</v>
      </c>
      <c r="J182" t="s">
        <v>168</v>
      </c>
    </row>
    <row r="183" spans="1:10" x14ac:dyDescent="0.2">
      <c r="A183">
        <v>97</v>
      </c>
      <c r="B183" t="s">
        <v>181</v>
      </c>
      <c r="C183" t="s">
        <v>137</v>
      </c>
      <c r="D183">
        <v>5000</v>
      </c>
      <c r="E183">
        <v>11</v>
      </c>
      <c r="F183" t="s">
        <v>74</v>
      </c>
      <c r="G183" t="s">
        <v>11</v>
      </c>
      <c r="H183" t="s">
        <v>85</v>
      </c>
      <c r="I183" t="s">
        <v>86</v>
      </c>
      <c r="J183" t="s">
        <v>168</v>
      </c>
    </row>
    <row r="184" spans="1:10" x14ac:dyDescent="0.2">
      <c r="A184">
        <v>98</v>
      </c>
      <c r="B184" t="s">
        <v>182</v>
      </c>
      <c r="C184" t="s">
        <v>137</v>
      </c>
      <c r="D184">
        <v>5000</v>
      </c>
      <c r="E184">
        <v>11</v>
      </c>
      <c r="F184" t="s">
        <v>77</v>
      </c>
      <c r="G184" t="s">
        <v>11</v>
      </c>
      <c r="H184" t="s">
        <v>85</v>
      </c>
      <c r="I184" t="s">
        <v>86</v>
      </c>
      <c r="J184" t="s">
        <v>168</v>
      </c>
    </row>
    <row r="185" spans="1:10" x14ac:dyDescent="0.2">
      <c r="A185">
        <v>99</v>
      </c>
      <c r="B185" t="s">
        <v>183</v>
      </c>
      <c r="C185" t="s">
        <v>137</v>
      </c>
      <c r="D185">
        <v>5000</v>
      </c>
      <c r="E185">
        <v>11</v>
      </c>
      <c r="F185" t="s">
        <v>81</v>
      </c>
      <c r="G185" t="s">
        <v>11</v>
      </c>
      <c r="H185" t="s">
        <v>85</v>
      </c>
      <c r="I185" t="s">
        <v>86</v>
      </c>
      <c r="J185" t="s">
        <v>168</v>
      </c>
    </row>
    <row r="186" spans="1:10" x14ac:dyDescent="0.2">
      <c r="A186">
        <v>100</v>
      </c>
      <c r="B186" t="s">
        <v>184</v>
      </c>
      <c r="C186" t="s">
        <v>137</v>
      </c>
      <c r="D186">
        <v>5000</v>
      </c>
      <c r="E186">
        <v>11</v>
      </c>
      <c r="F186" t="s">
        <v>69</v>
      </c>
      <c r="G186" t="s">
        <v>11</v>
      </c>
      <c r="H186" t="s">
        <v>85</v>
      </c>
      <c r="I186" t="s">
        <v>86</v>
      </c>
      <c r="J186" t="s">
        <v>168</v>
      </c>
    </row>
    <row r="187" spans="1:10" x14ac:dyDescent="0.2">
      <c r="A187">
        <v>101</v>
      </c>
      <c r="B187" t="s">
        <v>185</v>
      </c>
      <c r="C187" t="s">
        <v>68</v>
      </c>
      <c r="D187">
        <v>5000</v>
      </c>
      <c r="E187">
        <v>11</v>
      </c>
      <c r="F187" t="s">
        <v>99</v>
      </c>
      <c r="G187" t="s">
        <v>11</v>
      </c>
      <c r="H187" t="s">
        <v>85</v>
      </c>
      <c r="I187" t="s">
        <v>86</v>
      </c>
      <c r="J187" t="s">
        <v>168</v>
      </c>
    </row>
    <row r="188" spans="1:10" x14ac:dyDescent="0.2">
      <c r="A188">
        <v>102</v>
      </c>
      <c r="B188" t="s">
        <v>186</v>
      </c>
      <c r="C188" t="s">
        <v>68</v>
      </c>
      <c r="D188">
        <v>5000</v>
      </c>
      <c r="E188">
        <v>11</v>
      </c>
      <c r="F188" t="s">
        <v>79</v>
      </c>
      <c r="G188" t="s">
        <v>11</v>
      </c>
      <c r="H188" t="s">
        <v>85</v>
      </c>
      <c r="I188" t="s">
        <v>86</v>
      </c>
      <c r="J188" t="s">
        <v>168</v>
      </c>
    </row>
    <row r="189" spans="1:10" x14ac:dyDescent="0.2">
      <c r="A189">
        <v>103</v>
      </c>
      <c r="B189" t="s">
        <v>187</v>
      </c>
      <c r="C189" t="s">
        <v>68</v>
      </c>
      <c r="D189">
        <v>5000</v>
      </c>
      <c r="E189">
        <v>11</v>
      </c>
      <c r="F189" t="s">
        <v>74</v>
      </c>
      <c r="G189" t="s">
        <v>11</v>
      </c>
      <c r="H189" t="s">
        <v>85</v>
      </c>
      <c r="I189" t="s">
        <v>86</v>
      </c>
      <c r="J189" t="s">
        <v>168</v>
      </c>
    </row>
    <row r="190" spans="1:10" x14ac:dyDescent="0.2">
      <c r="A190">
        <v>104</v>
      </c>
      <c r="B190" t="s">
        <v>188</v>
      </c>
      <c r="C190" t="s">
        <v>68</v>
      </c>
      <c r="D190">
        <v>5000</v>
      </c>
      <c r="E190">
        <v>11</v>
      </c>
      <c r="F190" t="s">
        <v>77</v>
      </c>
      <c r="G190" t="s">
        <v>11</v>
      </c>
      <c r="H190" t="s">
        <v>85</v>
      </c>
      <c r="I190" t="s">
        <v>86</v>
      </c>
      <c r="J190" t="s">
        <v>168</v>
      </c>
    </row>
    <row r="191" spans="1:10" x14ac:dyDescent="0.2">
      <c r="A191">
        <v>105</v>
      </c>
      <c r="B191" t="s">
        <v>189</v>
      </c>
      <c r="C191" t="s">
        <v>68</v>
      </c>
      <c r="D191">
        <v>5000</v>
      </c>
      <c r="E191">
        <v>11</v>
      </c>
      <c r="F191" t="s">
        <v>81</v>
      </c>
      <c r="G191" t="s">
        <v>11</v>
      </c>
      <c r="H191" t="s">
        <v>85</v>
      </c>
      <c r="I191" t="s">
        <v>86</v>
      </c>
      <c r="J191" t="s">
        <v>168</v>
      </c>
    </row>
    <row r="192" spans="1:10" x14ac:dyDescent="0.2">
      <c r="A192">
        <v>106</v>
      </c>
      <c r="B192" t="s">
        <v>190</v>
      </c>
      <c r="C192" t="s">
        <v>68</v>
      </c>
      <c r="D192">
        <v>5000</v>
      </c>
      <c r="E192">
        <v>11</v>
      </c>
      <c r="F192" t="s">
        <v>69</v>
      </c>
      <c r="G192" t="s">
        <v>11</v>
      </c>
      <c r="H192" t="s">
        <v>85</v>
      </c>
      <c r="I192" t="s">
        <v>86</v>
      </c>
      <c r="J192" t="s">
        <v>168</v>
      </c>
    </row>
    <row r="193" spans="1:10" x14ac:dyDescent="0.2">
      <c r="A193">
        <v>107</v>
      </c>
      <c r="B193" t="s">
        <v>191</v>
      </c>
      <c r="C193" t="s">
        <v>84</v>
      </c>
      <c r="D193">
        <v>5000</v>
      </c>
      <c r="E193">
        <v>11</v>
      </c>
      <c r="F193" t="s">
        <v>79</v>
      </c>
      <c r="G193" t="s">
        <v>11</v>
      </c>
      <c r="H193" t="s">
        <v>85</v>
      </c>
      <c r="I193" t="s">
        <v>86</v>
      </c>
      <c r="J193" t="s">
        <v>168</v>
      </c>
    </row>
    <row r="194" spans="1:10" x14ac:dyDescent="0.2">
      <c r="A194">
        <v>108</v>
      </c>
      <c r="B194" t="s">
        <v>192</v>
      </c>
      <c r="C194" t="s">
        <v>84</v>
      </c>
      <c r="D194">
        <v>5000</v>
      </c>
      <c r="E194">
        <v>11</v>
      </c>
      <c r="F194" t="s">
        <v>74</v>
      </c>
      <c r="G194" t="s">
        <v>11</v>
      </c>
      <c r="H194" t="s">
        <v>85</v>
      </c>
      <c r="I194" t="s">
        <v>86</v>
      </c>
      <c r="J194" t="s">
        <v>168</v>
      </c>
    </row>
    <row r="195" spans="1:10" x14ac:dyDescent="0.2">
      <c r="A195">
        <v>109</v>
      </c>
      <c r="B195" t="s">
        <v>193</v>
      </c>
      <c r="C195" t="s">
        <v>84</v>
      </c>
      <c r="D195">
        <v>5000</v>
      </c>
      <c r="E195">
        <v>11</v>
      </c>
      <c r="F195" t="s">
        <v>99</v>
      </c>
      <c r="G195" t="s">
        <v>11</v>
      </c>
      <c r="H195" t="s">
        <v>85</v>
      </c>
      <c r="I195" t="s">
        <v>86</v>
      </c>
      <c r="J195" t="s">
        <v>168</v>
      </c>
    </row>
    <row r="196" spans="1:10" x14ac:dyDescent="0.2">
      <c r="A196">
        <v>110</v>
      </c>
      <c r="B196" t="s">
        <v>194</v>
      </c>
      <c r="C196" t="s">
        <v>84</v>
      </c>
      <c r="D196">
        <v>5000</v>
      </c>
      <c r="E196">
        <v>11</v>
      </c>
      <c r="F196" t="s">
        <v>77</v>
      </c>
      <c r="G196" t="s">
        <v>11</v>
      </c>
      <c r="H196" t="s">
        <v>85</v>
      </c>
      <c r="I196" t="s">
        <v>86</v>
      </c>
      <c r="J196" t="s">
        <v>168</v>
      </c>
    </row>
    <row r="197" spans="1:10" x14ac:dyDescent="0.2">
      <c r="A197">
        <v>111</v>
      </c>
      <c r="B197" t="s">
        <v>195</v>
      </c>
      <c r="C197" t="s">
        <v>84</v>
      </c>
      <c r="D197">
        <v>5000</v>
      </c>
      <c r="E197">
        <v>11</v>
      </c>
      <c r="F197" t="s">
        <v>81</v>
      </c>
      <c r="G197" t="s">
        <v>11</v>
      </c>
      <c r="H197" t="s">
        <v>85</v>
      </c>
      <c r="I197" t="s">
        <v>86</v>
      </c>
      <c r="J197" t="s">
        <v>168</v>
      </c>
    </row>
    <row r="198" spans="1:10" x14ac:dyDescent="0.2">
      <c r="A198">
        <v>112</v>
      </c>
      <c r="B198" t="s">
        <v>196</v>
      </c>
      <c r="C198" t="s">
        <v>84</v>
      </c>
      <c r="D198">
        <v>5000</v>
      </c>
      <c r="E198">
        <v>11</v>
      </c>
      <c r="F198" t="s">
        <v>69</v>
      </c>
      <c r="G198" t="s">
        <v>11</v>
      </c>
      <c r="H198" t="s">
        <v>85</v>
      </c>
      <c r="I198" t="s">
        <v>86</v>
      </c>
      <c r="J198" t="s">
        <v>168</v>
      </c>
    </row>
    <row r="199" spans="1:10" x14ac:dyDescent="0.2">
      <c r="A199">
        <v>113</v>
      </c>
      <c r="B199" t="s">
        <v>197</v>
      </c>
      <c r="C199" t="s">
        <v>84</v>
      </c>
      <c r="D199" s="11">
        <v>8000</v>
      </c>
      <c r="E199" t="s">
        <v>198</v>
      </c>
      <c r="F199" t="s">
        <v>69</v>
      </c>
      <c r="G199" t="s">
        <v>11</v>
      </c>
      <c r="H199" t="s">
        <v>70</v>
      </c>
      <c r="I199" t="s">
        <v>71</v>
      </c>
      <c r="J199" t="s">
        <v>168</v>
      </c>
    </row>
    <row r="200" spans="1:10" x14ac:dyDescent="0.2">
      <c r="A200">
        <v>114</v>
      </c>
      <c r="B200" t="s">
        <v>199</v>
      </c>
      <c r="C200" t="s">
        <v>84</v>
      </c>
      <c r="D200" s="11">
        <v>4000</v>
      </c>
      <c r="E200" t="s">
        <v>198</v>
      </c>
      <c r="F200" t="s">
        <v>79</v>
      </c>
      <c r="G200" t="s">
        <v>11</v>
      </c>
      <c r="H200" t="s">
        <v>70</v>
      </c>
      <c r="I200" t="s">
        <v>71</v>
      </c>
      <c r="J200" t="s">
        <v>168</v>
      </c>
    </row>
    <row r="201" spans="1:10" x14ac:dyDescent="0.2">
      <c r="A201">
        <v>115</v>
      </c>
      <c r="B201" t="s">
        <v>200</v>
      </c>
      <c r="C201" t="s">
        <v>84</v>
      </c>
      <c r="D201" s="11">
        <v>8000</v>
      </c>
      <c r="E201" t="s">
        <v>198</v>
      </c>
      <c r="F201" t="s">
        <v>74</v>
      </c>
      <c r="G201" t="s">
        <v>11</v>
      </c>
      <c r="H201" t="s">
        <v>70</v>
      </c>
      <c r="I201" t="s">
        <v>71</v>
      </c>
      <c r="J201" t="s">
        <v>168</v>
      </c>
    </row>
    <row r="202" spans="1:10" x14ac:dyDescent="0.2">
      <c r="A202">
        <v>116</v>
      </c>
      <c r="B202" t="s">
        <v>201</v>
      </c>
      <c r="C202" t="s">
        <v>84</v>
      </c>
      <c r="D202" s="11">
        <v>3000</v>
      </c>
      <c r="E202" t="s">
        <v>198</v>
      </c>
      <c r="F202" t="s">
        <v>99</v>
      </c>
      <c r="G202" t="s">
        <v>11</v>
      </c>
      <c r="H202" t="s">
        <v>70</v>
      </c>
      <c r="I202" t="s">
        <v>71</v>
      </c>
      <c r="J202" t="s">
        <v>168</v>
      </c>
    </row>
    <row r="203" spans="1:10" x14ac:dyDescent="0.2">
      <c r="A203">
        <v>117</v>
      </c>
      <c r="B203" t="s">
        <v>202</v>
      </c>
      <c r="C203" t="s">
        <v>84</v>
      </c>
      <c r="D203" s="11">
        <v>8000</v>
      </c>
      <c r="E203" t="s">
        <v>198</v>
      </c>
      <c r="F203" t="s">
        <v>77</v>
      </c>
      <c r="G203" t="s">
        <v>11</v>
      </c>
      <c r="H203" t="s">
        <v>70</v>
      </c>
      <c r="I203" t="s">
        <v>71</v>
      </c>
      <c r="J203" t="s">
        <v>168</v>
      </c>
    </row>
    <row r="204" spans="1:10" x14ac:dyDescent="0.2">
      <c r="A204">
        <v>118</v>
      </c>
      <c r="B204" t="s">
        <v>203</v>
      </c>
      <c r="C204" t="s">
        <v>84</v>
      </c>
      <c r="D204" s="11">
        <v>8000</v>
      </c>
      <c r="E204" t="s">
        <v>198</v>
      </c>
      <c r="F204" t="s">
        <v>81</v>
      </c>
      <c r="G204" t="s">
        <v>11</v>
      </c>
      <c r="H204" t="s">
        <v>70</v>
      </c>
      <c r="I204" t="s">
        <v>71</v>
      </c>
      <c r="J204" t="s">
        <v>168</v>
      </c>
    </row>
    <row r="205" spans="1:10" x14ac:dyDescent="0.2">
      <c r="A205">
        <v>119</v>
      </c>
      <c r="B205" t="s">
        <v>204</v>
      </c>
      <c r="C205" t="s">
        <v>84</v>
      </c>
      <c r="D205" s="11">
        <v>6000</v>
      </c>
      <c r="E205" t="s">
        <v>205</v>
      </c>
      <c r="F205" t="s">
        <v>69</v>
      </c>
      <c r="G205" t="s">
        <v>11</v>
      </c>
      <c r="H205" t="s">
        <v>206</v>
      </c>
      <c r="I205" t="s">
        <v>71</v>
      </c>
      <c r="J205" t="s">
        <v>168</v>
      </c>
    </row>
    <row r="206" spans="1:10" x14ac:dyDescent="0.2">
      <c r="A206">
        <v>120</v>
      </c>
      <c r="B206" t="s">
        <v>207</v>
      </c>
      <c r="C206" t="s">
        <v>84</v>
      </c>
      <c r="D206" s="11">
        <v>6000</v>
      </c>
      <c r="E206" t="s">
        <v>205</v>
      </c>
      <c r="F206" t="s">
        <v>79</v>
      </c>
      <c r="G206" t="s">
        <v>11</v>
      </c>
      <c r="H206" t="s">
        <v>206</v>
      </c>
      <c r="I206" t="s">
        <v>71</v>
      </c>
      <c r="J206" t="s">
        <v>168</v>
      </c>
    </row>
    <row r="207" spans="1:10" x14ac:dyDescent="0.2">
      <c r="A207">
        <v>121</v>
      </c>
      <c r="B207" t="s">
        <v>208</v>
      </c>
      <c r="C207" t="s">
        <v>84</v>
      </c>
      <c r="D207" s="11">
        <v>8000</v>
      </c>
      <c r="E207" t="s">
        <v>205</v>
      </c>
      <c r="F207" t="s">
        <v>74</v>
      </c>
      <c r="G207" t="s">
        <v>11</v>
      </c>
      <c r="H207" t="s">
        <v>206</v>
      </c>
      <c r="I207" t="s">
        <v>71</v>
      </c>
      <c r="J207" t="s">
        <v>168</v>
      </c>
    </row>
    <row r="208" spans="1:10" x14ac:dyDescent="0.2">
      <c r="A208">
        <v>122</v>
      </c>
      <c r="B208" t="s">
        <v>209</v>
      </c>
      <c r="C208" t="s">
        <v>84</v>
      </c>
      <c r="D208" s="11">
        <v>3000</v>
      </c>
      <c r="E208" t="s">
        <v>205</v>
      </c>
      <c r="F208" t="s">
        <v>99</v>
      </c>
      <c r="G208" t="s">
        <v>11</v>
      </c>
      <c r="H208" t="s">
        <v>206</v>
      </c>
      <c r="I208" t="s">
        <v>71</v>
      </c>
      <c r="J208" t="s">
        <v>168</v>
      </c>
    </row>
    <row r="209" spans="1:10" x14ac:dyDescent="0.2">
      <c r="A209">
        <v>123</v>
      </c>
      <c r="B209" t="s">
        <v>210</v>
      </c>
      <c r="C209" t="s">
        <v>84</v>
      </c>
      <c r="D209" s="11">
        <v>8000</v>
      </c>
      <c r="E209" t="s">
        <v>205</v>
      </c>
      <c r="F209" t="s">
        <v>77</v>
      </c>
      <c r="G209" t="s">
        <v>11</v>
      </c>
      <c r="H209" t="s">
        <v>206</v>
      </c>
      <c r="I209" t="s">
        <v>71</v>
      </c>
      <c r="J209" t="s">
        <v>168</v>
      </c>
    </row>
    <row r="210" spans="1:10" x14ac:dyDescent="0.2">
      <c r="A210">
        <v>124</v>
      </c>
      <c r="B210" t="s">
        <v>211</v>
      </c>
      <c r="C210" t="s">
        <v>84</v>
      </c>
      <c r="D210" s="11">
        <v>8000</v>
      </c>
      <c r="E210" t="s">
        <v>205</v>
      </c>
      <c r="F210" t="s">
        <v>81</v>
      </c>
      <c r="G210" t="s">
        <v>11</v>
      </c>
      <c r="H210" t="s">
        <v>206</v>
      </c>
      <c r="I210" t="s">
        <v>71</v>
      </c>
      <c r="J210" t="s">
        <v>168</v>
      </c>
    </row>
    <row r="211" spans="1:10" x14ac:dyDescent="0.2">
      <c r="A211">
        <v>125</v>
      </c>
      <c r="B211" t="s">
        <v>212</v>
      </c>
      <c r="C211" t="s">
        <v>84</v>
      </c>
      <c r="D211" s="11">
        <v>6000</v>
      </c>
      <c r="E211" t="s">
        <v>213</v>
      </c>
      <c r="F211" t="s">
        <v>69</v>
      </c>
      <c r="G211" t="s">
        <v>12</v>
      </c>
      <c r="H211" t="s">
        <v>70</v>
      </c>
      <c r="I211" t="s">
        <v>71</v>
      </c>
      <c r="J211" t="s">
        <v>168</v>
      </c>
    </row>
    <row r="212" spans="1:10" x14ac:dyDescent="0.2">
      <c r="A212">
        <v>126</v>
      </c>
      <c r="B212" t="s">
        <v>214</v>
      </c>
      <c r="C212" t="s">
        <v>84</v>
      </c>
      <c r="D212" s="11">
        <v>4000</v>
      </c>
      <c r="E212" t="s">
        <v>213</v>
      </c>
      <c r="F212" t="s">
        <v>79</v>
      </c>
      <c r="G212" t="s">
        <v>12</v>
      </c>
      <c r="H212" t="s">
        <v>70</v>
      </c>
      <c r="I212" t="s">
        <v>71</v>
      </c>
      <c r="J212" t="s">
        <v>168</v>
      </c>
    </row>
    <row r="213" spans="1:10" x14ac:dyDescent="0.2">
      <c r="A213">
        <v>127</v>
      </c>
      <c r="B213" t="s">
        <v>215</v>
      </c>
      <c r="C213" t="s">
        <v>84</v>
      </c>
      <c r="D213" s="11">
        <v>8000</v>
      </c>
      <c r="E213" t="s">
        <v>213</v>
      </c>
      <c r="F213" t="s">
        <v>74</v>
      </c>
      <c r="G213" t="s">
        <v>12</v>
      </c>
      <c r="H213" t="s">
        <v>70</v>
      </c>
      <c r="I213" t="s">
        <v>71</v>
      </c>
      <c r="J213" t="s">
        <v>168</v>
      </c>
    </row>
    <row r="214" spans="1:10" x14ac:dyDescent="0.2">
      <c r="A214">
        <v>128</v>
      </c>
      <c r="B214" t="s">
        <v>216</v>
      </c>
      <c r="C214" t="s">
        <v>84</v>
      </c>
      <c r="D214" s="11">
        <v>3000</v>
      </c>
      <c r="E214" t="s">
        <v>213</v>
      </c>
      <c r="F214" t="s">
        <v>99</v>
      </c>
      <c r="G214" t="s">
        <v>12</v>
      </c>
      <c r="H214" t="s">
        <v>70</v>
      </c>
      <c r="I214" t="s">
        <v>71</v>
      </c>
      <c r="J214" t="s">
        <v>168</v>
      </c>
    </row>
    <row r="215" spans="1:10" x14ac:dyDescent="0.2">
      <c r="A215">
        <v>129</v>
      </c>
      <c r="B215" t="s">
        <v>217</v>
      </c>
      <c r="C215" t="s">
        <v>84</v>
      </c>
      <c r="D215" s="11">
        <v>8000</v>
      </c>
      <c r="E215" t="s">
        <v>213</v>
      </c>
      <c r="F215" t="s">
        <v>77</v>
      </c>
      <c r="G215" t="s">
        <v>12</v>
      </c>
      <c r="H215" t="s">
        <v>70</v>
      </c>
      <c r="I215" t="s">
        <v>71</v>
      </c>
      <c r="J215" t="s">
        <v>168</v>
      </c>
    </row>
    <row r="216" spans="1:10" x14ac:dyDescent="0.2">
      <c r="A216">
        <v>130</v>
      </c>
      <c r="B216" t="s">
        <v>218</v>
      </c>
      <c r="C216" t="s">
        <v>84</v>
      </c>
      <c r="D216" s="11">
        <v>8000</v>
      </c>
      <c r="E216" t="s">
        <v>213</v>
      </c>
      <c r="F216" t="s">
        <v>81</v>
      </c>
      <c r="G216" t="s">
        <v>12</v>
      </c>
      <c r="H216" t="s">
        <v>70</v>
      </c>
      <c r="I216" t="s">
        <v>71</v>
      </c>
      <c r="J216" t="s">
        <v>168</v>
      </c>
    </row>
    <row r="217" spans="1:10" x14ac:dyDescent="0.2">
      <c r="A217">
        <v>131</v>
      </c>
      <c r="B217" t="s">
        <v>219</v>
      </c>
      <c r="C217" t="s">
        <v>84</v>
      </c>
      <c r="D217" s="11">
        <v>8000</v>
      </c>
      <c r="E217" t="s">
        <v>220</v>
      </c>
      <c r="F217" t="s">
        <v>69</v>
      </c>
      <c r="G217" t="s">
        <v>12</v>
      </c>
      <c r="H217" t="s">
        <v>70</v>
      </c>
      <c r="I217" t="s">
        <v>71</v>
      </c>
      <c r="J217" t="s">
        <v>168</v>
      </c>
    </row>
    <row r="218" spans="1:10" x14ac:dyDescent="0.2">
      <c r="A218">
        <v>132</v>
      </c>
      <c r="B218" t="s">
        <v>221</v>
      </c>
      <c r="C218" t="s">
        <v>84</v>
      </c>
      <c r="D218" s="11">
        <v>4000</v>
      </c>
      <c r="E218" t="s">
        <v>220</v>
      </c>
      <c r="F218" t="s">
        <v>79</v>
      </c>
      <c r="G218" t="s">
        <v>12</v>
      </c>
      <c r="H218" t="s">
        <v>70</v>
      </c>
      <c r="I218" t="s">
        <v>71</v>
      </c>
      <c r="J218" t="s">
        <v>168</v>
      </c>
    </row>
    <row r="219" spans="1:10" x14ac:dyDescent="0.2">
      <c r="A219">
        <v>133</v>
      </c>
      <c r="B219" t="s">
        <v>222</v>
      </c>
      <c r="C219" t="s">
        <v>84</v>
      </c>
      <c r="D219" s="11">
        <v>8000</v>
      </c>
      <c r="E219" t="s">
        <v>220</v>
      </c>
      <c r="F219" t="s">
        <v>74</v>
      </c>
      <c r="G219" t="s">
        <v>12</v>
      </c>
      <c r="H219" t="s">
        <v>70</v>
      </c>
      <c r="I219" t="s">
        <v>71</v>
      </c>
      <c r="J219" t="s">
        <v>168</v>
      </c>
    </row>
    <row r="220" spans="1:10" x14ac:dyDescent="0.2">
      <c r="A220">
        <v>134</v>
      </c>
      <c r="B220" t="s">
        <v>223</v>
      </c>
      <c r="C220" t="s">
        <v>84</v>
      </c>
      <c r="D220" s="11">
        <v>3000</v>
      </c>
      <c r="E220" t="s">
        <v>220</v>
      </c>
      <c r="F220" t="s">
        <v>99</v>
      </c>
      <c r="G220" t="s">
        <v>12</v>
      </c>
      <c r="H220" t="s">
        <v>70</v>
      </c>
      <c r="I220" t="s">
        <v>71</v>
      </c>
      <c r="J220" t="s">
        <v>168</v>
      </c>
    </row>
    <row r="221" spans="1:10" x14ac:dyDescent="0.2">
      <c r="A221">
        <v>135</v>
      </c>
      <c r="B221" t="s">
        <v>224</v>
      </c>
      <c r="C221" t="s">
        <v>84</v>
      </c>
      <c r="D221" s="11">
        <v>8000</v>
      </c>
      <c r="E221" t="s">
        <v>220</v>
      </c>
      <c r="F221" t="s">
        <v>77</v>
      </c>
      <c r="G221" t="s">
        <v>12</v>
      </c>
      <c r="H221" t="s">
        <v>70</v>
      </c>
      <c r="I221" t="s">
        <v>71</v>
      </c>
      <c r="J221" t="s">
        <v>168</v>
      </c>
    </row>
    <row r="222" spans="1:10" x14ac:dyDescent="0.2">
      <c r="A222">
        <v>136</v>
      </c>
      <c r="B222" t="s">
        <v>225</v>
      </c>
      <c r="C222" t="s">
        <v>84</v>
      </c>
      <c r="D222" s="11">
        <v>8000</v>
      </c>
      <c r="E222" t="s">
        <v>220</v>
      </c>
      <c r="F222" t="s">
        <v>81</v>
      </c>
      <c r="G222" t="s">
        <v>12</v>
      </c>
      <c r="H222" t="s">
        <v>70</v>
      </c>
      <c r="I222" t="s">
        <v>71</v>
      </c>
      <c r="J222" t="s">
        <v>168</v>
      </c>
    </row>
    <row r="223" spans="1:10" x14ac:dyDescent="0.2">
      <c r="A223">
        <v>137</v>
      </c>
      <c r="B223" t="s">
        <v>226</v>
      </c>
      <c r="C223" t="s">
        <v>84</v>
      </c>
      <c r="D223" s="11">
        <v>6000</v>
      </c>
      <c r="E223" t="s">
        <v>227</v>
      </c>
      <c r="F223" t="s">
        <v>69</v>
      </c>
      <c r="G223" t="s">
        <v>11</v>
      </c>
      <c r="H223" t="s">
        <v>228</v>
      </c>
      <c r="I223" t="s">
        <v>71</v>
      </c>
      <c r="J223" t="s">
        <v>168</v>
      </c>
    </row>
    <row r="224" spans="1:10" x14ac:dyDescent="0.2">
      <c r="A224">
        <v>138</v>
      </c>
      <c r="B224" t="s">
        <v>229</v>
      </c>
      <c r="C224" t="s">
        <v>84</v>
      </c>
      <c r="D224" s="11">
        <v>4000</v>
      </c>
      <c r="E224" t="s">
        <v>227</v>
      </c>
      <c r="F224" t="s">
        <v>79</v>
      </c>
      <c r="G224" t="s">
        <v>11</v>
      </c>
      <c r="H224" t="s">
        <v>228</v>
      </c>
      <c r="I224" t="s">
        <v>71</v>
      </c>
      <c r="J224" t="s">
        <v>168</v>
      </c>
    </row>
    <row r="225" spans="1:10" x14ac:dyDescent="0.2">
      <c r="A225">
        <v>139</v>
      </c>
      <c r="B225" t="s">
        <v>230</v>
      </c>
      <c r="C225" t="s">
        <v>84</v>
      </c>
      <c r="D225" s="11">
        <v>8000</v>
      </c>
      <c r="E225" t="s">
        <v>227</v>
      </c>
      <c r="F225" t="s">
        <v>74</v>
      </c>
      <c r="G225" t="s">
        <v>11</v>
      </c>
      <c r="H225" t="s">
        <v>228</v>
      </c>
      <c r="I225" t="s">
        <v>71</v>
      </c>
      <c r="J225" t="s">
        <v>168</v>
      </c>
    </row>
    <row r="226" spans="1:10" x14ac:dyDescent="0.2">
      <c r="A226">
        <v>140</v>
      </c>
      <c r="B226" t="s">
        <v>231</v>
      </c>
      <c r="C226" t="s">
        <v>84</v>
      </c>
      <c r="D226" s="11">
        <v>3000</v>
      </c>
      <c r="E226" t="s">
        <v>227</v>
      </c>
      <c r="F226" t="s">
        <v>99</v>
      </c>
      <c r="G226" t="s">
        <v>11</v>
      </c>
      <c r="H226" t="s">
        <v>228</v>
      </c>
      <c r="I226" t="s">
        <v>71</v>
      </c>
      <c r="J226" t="s">
        <v>168</v>
      </c>
    </row>
    <row r="227" spans="1:10" x14ac:dyDescent="0.2">
      <c r="A227">
        <v>141</v>
      </c>
      <c r="B227" t="s">
        <v>232</v>
      </c>
      <c r="C227" t="s">
        <v>84</v>
      </c>
      <c r="D227" s="11">
        <v>8000</v>
      </c>
      <c r="E227" t="s">
        <v>227</v>
      </c>
      <c r="F227" t="s">
        <v>77</v>
      </c>
      <c r="G227" t="s">
        <v>11</v>
      </c>
      <c r="H227" t="s">
        <v>228</v>
      </c>
      <c r="I227" t="s">
        <v>71</v>
      </c>
      <c r="J227" t="s">
        <v>168</v>
      </c>
    </row>
    <row r="228" spans="1:10" x14ac:dyDescent="0.2">
      <c r="A228">
        <v>142</v>
      </c>
      <c r="B228" t="s">
        <v>233</v>
      </c>
      <c r="C228" t="s">
        <v>84</v>
      </c>
      <c r="D228" s="11">
        <v>8000</v>
      </c>
      <c r="E228" t="s">
        <v>227</v>
      </c>
      <c r="F228" t="s">
        <v>81</v>
      </c>
      <c r="G228" t="s">
        <v>11</v>
      </c>
      <c r="H228" t="s">
        <v>228</v>
      </c>
      <c r="I228" t="s">
        <v>71</v>
      </c>
      <c r="J228" t="s">
        <v>168</v>
      </c>
    </row>
    <row r="229" spans="1:10" x14ac:dyDescent="0.2">
      <c r="A229">
        <v>143</v>
      </c>
      <c r="B229" t="s">
        <v>234</v>
      </c>
      <c r="C229" t="s">
        <v>84</v>
      </c>
      <c r="D229" s="11">
        <v>6000</v>
      </c>
      <c r="E229" t="s">
        <v>235</v>
      </c>
      <c r="F229" t="s">
        <v>69</v>
      </c>
      <c r="G229" t="s">
        <v>12</v>
      </c>
      <c r="H229" t="s">
        <v>75</v>
      </c>
      <c r="I229" t="s">
        <v>71</v>
      </c>
      <c r="J229" t="s">
        <v>168</v>
      </c>
    </row>
    <row r="230" spans="1:10" x14ac:dyDescent="0.2">
      <c r="A230">
        <v>144</v>
      </c>
      <c r="B230" t="s">
        <v>236</v>
      </c>
      <c r="C230" t="s">
        <v>84</v>
      </c>
      <c r="D230" s="11">
        <v>4000</v>
      </c>
      <c r="E230" t="s">
        <v>235</v>
      </c>
      <c r="F230" t="s">
        <v>99</v>
      </c>
      <c r="G230" t="s">
        <v>12</v>
      </c>
      <c r="H230" t="s">
        <v>75</v>
      </c>
      <c r="I230" t="s">
        <v>71</v>
      </c>
      <c r="J230" t="s">
        <v>168</v>
      </c>
    </row>
    <row r="231" spans="1:10" x14ac:dyDescent="0.2">
      <c r="A231">
        <v>145</v>
      </c>
      <c r="B231" t="s">
        <v>237</v>
      </c>
      <c r="C231" t="s">
        <v>84</v>
      </c>
      <c r="D231" s="11">
        <v>8000</v>
      </c>
      <c r="E231" t="s">
        <v>235</v>
      </c>
      <c r="F231" t="s">
        <v>74</v>
      </c>
      <c r="G231" t="s">
        <v>12</v>
      </c>
      <c r="H231" t="s">
        <v>75</v>
      </c>
      <c r="I231" t="s">
        <v>71</v>
      </c>
      <c r="J231" t="s">
        <v>168</v>
      </c>
    </row>
    <row r="232" spans="1:10" x14ac:dyDescent="0.2">
      <c r="A232">
        <v>146</v>
      </c>
      <c r="B232" t="s">
        <v>238</v>
      </c>
      <c r="C232" t="s">
        <v>84</v>
      </c>
      <c r="D232" s="11">
        <v>3000</v>
      </c>
      <c r="E232" t="s">
        <v>235</v>
      </c>
      <c r="F232" t="s">
        <v>79</v>
      </c>
      <c r="G232" t="s">
        <v>12</v>
      </c>
      <c r="H232" t="s">
        <v>75</v>
      </c>
      <c r="I232" t="s">
        <v>71</v>
      </c>
      <c r="J232" t="s">
        <v>168</v>
      </c>
    </row>
    <row r="233" spans="1:10" x14ac:dyDescent="0.2">
      <c r="A233">
        <v>147</v>
      </c>
      <c r="B233" t="s">
        <v>239</v>
      </c>
      <c r="C233" t="s">
        <v>84</v>
      </c>
      <c r="D233" s="11">
        <v>8000</v>
      </c>
      <c r="E233" t="s">
        <v>235</v>
      </c>
      <c r="F233" t="s">
        <v>77</v>
      </c>
      <c r="G233" t="s">
        <v>12</v>
      </c>
      <c r="H233" t="s">
        <v>75</v>
      </c>
      <c r="I233" t="s">
        <v>71</v>
      </c>
      <c r="J233" t="s">
        <v>168</v>
      </c>
    </row>
    <row r="234" spans="1:10" x14ac:dyDescent="0.2">
      <c r="A234">
        <v>148</v>
      </c>
      <c r="B234" t="s">
        <v>240</v>
      </c>
      <c r="C234" t="s">
        <v>84</v>
      </c>
      <c r="D234" s="11">
        <v>8000</v>
      </c>
      <c r="E234" t="s">
        <v>235</v>
      </c>
      <c r="F234" t="s">
        <v>81</v>
      </c>
      <c r="G234" t="s">
        <v>12</v>
      </c>
      <c r="H234" t="s">
        <v>75</v>
      </c>
      <c r="I234" t="s">
        <v>71</v>
      </c>
      <c r="J234" t="s">
        <v>168</v>
      </c>
    </row>
    <row r="235" spans="1:10" x14ac:dyDescent="0.2">
      <c r="A235">
        <v>149</v>
      </c>
      <c r="B235" t="s">
        <v>241</v>
      </c>
      <c r="C235" t="s">
        <v>84</v>
      </c>
      <c r="D235" s="11">
        <v>3000</v>
      </c>
      <c r="E235" t="s">
        <v>235</v>
      </c>
      <c r="F235" t="s">
        <v>79</v>
      </c>
      <c r="G235" t="s">
        <v>12</v>
      </c>
      <c r="H235" t="s">
        <v>75</v>
      </c>
      <c r="I235" t="s">
        <v>71</v>
      </c>
      <c r="J235" t="s">
        <v>168</v>
      </c>
    </row>
    <row r="236" spans="1:10" x14ac:dyDescent="0.2">
      <c r="A236">
        <v>150</v>
      </c>
      <c r="B236" t="s">
        <v>242</v>
      </c>
      <c r="C236" t="s">
        <v>84</v>
      </c>
      <c r="D236" s="11">
        <v>4000</v>
      </c>
      <c r="E236" t="s">
        <v>235</v>
      </c>
      <c r="F236" t="s">
        <v>99</v>
      </c>
      <c r="G236" t="s">
        <v>12</v>
      </c>
      <c r="H236" t="s">
        <v>75</v>
      </c>
      <c r="I236" t="s">
        <v>71</v>
      </c>
      <c r="J236" t="s">
        <v>168</v>
      </c>
    </row>
  </sheetData>
  <conditionalFormatting sqref="H54:P54">
    <cfRule type="containsText" dxfId="0" priority="1" operator="containsText" text="Yes">
      <formula>NOT(ISERROR(SEARCH("Yes",H54)))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C1C9-172A-C141-8C31-9826F5322A4A}">
  <dimension ref="A1:D7"/>
  <sheetViews>
    <sheetView workbookViewId="0">
      <selection activeCell="C15" sqref="C15"/>
    </sheetView>
  </sheetViews>
  <sheetFormatPr baseColWidth="10" defaultRowHeight="16" x14ac:dyDescent="0.2"/>
  <cols>
    <col min="1" max="1" width="26.83203125" customWidth="1"/>
    <col min="2" max="2" width="20.5" customWidth="1"/>
    <col min="3" max="3" width="13" customWidth="1"/>
    <col min="4" max="4" width="22.33203125" customWidth="1"/>
  </cols>
  <sheetData>
    <row r="1" spans="1:4" ht="19" x14ac:dyDescent="0.25">
      <c r="A1" s="14" t="s">
        <v>255</v>
      </c>
      <c r="B1" s="13"/>
      <c r="C1" s="13"/>
      <c r="D1" s="13"/>
    </row>
    <row r="2" spans="1:4" x14ac:dyDescent="0.2">
      <c r="A2" s="2" t="s">
        <v>246</v>
      </c>
      <c r="B2" s="2" t="s">
        <v>251</v>
      </c>
      <c r="C2" s="2" t="s">
        <v>248</v>
      </c>
      <c r="D2" s="2" t="s">
        <v>252</v>
      </c>
    </row>
    <row r="3" spans="1:4" x14ac:dyDescent="0.2">
      <c r="A3" t="s">
        <v>247</v>
      </c>
      <c r="B3">
        <v>1.9199999999999998E-2</v>
      </c>
      <c r="C3">
        <v>1.0999999999999999E-2</v>
      </c>
      <c r="D3">
        <v>-0.26</v>
      </c>
    </row>
    <row r="4" spans="1:4" x14ac:dyDescent="0.2">
      <c r="A4" t="s">
        <v>250</v>
      </c>
      <c r="B4">
        <v>0.57299999999999995</v>
      </c>
      <c r="C4">
        <v>0.41399999999999998</v>
      </c>
      <c r="D4">
        <v>0.1</v>
      </c>
    </row>
    <row r="5" spans="1:4" x14ac:dyDescent="0.2">
      <c r="A5" t="s">
        <v>249</v>
      </c>
      <c r="B5">
        <v>0.60199999999999998</v>
      </c>
      <c r="C5">
        <v>0.71799999999999997</v>
      </c>
      <c r="D5">
        <v>0.03</v>
      </c>
    </row>
    <row r="6" spans="1:4" x14ac:dyDescent="0.2">
      <c r="A6" t="s">
        <v>253</v>
      </c>
      <c r="B6" s="12">
        <v>0.44700000000000001</v>
      </c>
      <c r="C6" s="12">
        <v>4.0000000000000001E-3</v>
      </c>
      <c r="D6" s="12">
        <v>0.27</v>
      </c>
    </row>
    <row r="7" spans="1:4" x14ac:dyDescent="0.2">
      <c r="A7" t="s">
        <v>254</v>
      </c>
      <c r="B7">
        <v>0.14699999999999999</v>
      </c>
      <c r="C7" s="12">
        <v>0.20899999999999999</v>
      </c>
      <c r="D7" s="1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1</vt:lpstr>
      <vt:lpstr>Supplementary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Bax</dc:creator>
  <cp:lastModifiedBy>Monique Bax</cp:lastModifiedBy>
  <dcterms:created xsi:type="dcterms:W3CDTF">2026-03-12T15:42:22Z</dcterms:created>
  <dcterms:modified xsi:type="dcterms:W3CDTF">2026-05-21T09:21:11Z</dcterms:modified>
</cp:coreProperties>
</file>